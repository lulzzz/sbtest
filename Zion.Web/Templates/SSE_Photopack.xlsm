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360" windowWidth="17100" windowHeight="11400" activeTab="2"/>
  </bookViews>
  <sheets>
    <sheet name="Instructions" sheetId="5" r:id="rId1"/>
    <sheet name="Image Req" sheetId="6" r:id="rId2"/>
    <sheet name="Photos" sheetId="1" r:id="rId3"/>
    <sheet name="Version Control" sheetId="4" r:id="rId4"/>
    <sheet name="Data" sheetId="7" r:id="rId5"/>
  </sheets>
  <definedNames>
    <definedName name="_xlnm._FilterDatabase" localSheetId="2" hidden="1">Photos!$A$6:$J$29</definedName>
    <definedName name="_Ref298488409" localSheetId="1">'Image Req'!$C$36</definedName>
    <definedName name="_Ref298502662" localSheetId="1">'Image Req'!#REF!</definedName>
    <definedName name="_Ref298504688" localSheetId="1">'Image Req'!$C$45</definedName>
    <definedName name="_Toc301796008" localSheetId="1">'Image Req'!$C$5</definedName>
    <definedName name="_xlnm.Print_Area" localSheetId="2">Photos!$A$1:$J$29</definedName>
  </definedNames>
  <calcPr calcId="145621"/>
</workbook>
</file>

<file path=xl/calcChain.xml><?xml version="1.0" encoding="utf-8"?>
<calcChain xmlns="http://schemas.openxmlformats.org/spreadsheetml/2006/main">
  <c r="K26" i="1" l="1"/>
  <c r="H26" i="1" l="1"/>
  <c r="J5" i="1" l="1"/>
  <c r="K18" i="1" l="1"/>
  <c r="H18" i="1"/>
  <c r="H6" i="7" l="1"/>
  <c r="H4" i="7"/>
  <c r="H2" i="7"/>
  <c r="H15" i="1" l="1"/>
  <c r="K15" i="1"/>
  <c r="K6" i="7"/>
  <c r="K4" i="7"/>
  <c r="G4" i="7"/>
  <c r="K3" i="7"/>
  <c r="H3" i="7"/>
  <c r="G2" i="7"/>
  <c r="K2" i="7" s="1"/>
  <c r="K1" i="7"/>
  <c r="H1" i="7"/>
  <c r="K10" i="1" l="1"/>
  <c r="K13" i="1"/>
  <c r="K19" i="1"/>
  <c r="K23" i="1"/>
  <c r="K25" i="1"/>
  <c r="K9" i="1"/>
  <c r="H19" i="1" l="1"/>
  <c r="H10" i="1" l="1"/>
  <c r="B5" i="1"/>
  <c r="G16" i="1" l="1"/>
  <c r="G14" i="1"/>
  <c r="H13" i="1"/>
  <c r="H23" i="1"/>
  <c r="C29" i="1"/>
  <c r="F29" i="1"/>
  <c r="E29" i="1"/>
  <c r="D29" i="1"/>
  <c r="K14" i="1" l="1"/>
  <c r="H14" i="1"/>
  <c r="K16" i="1"/>
  <c r="H16" i="1"/>
  <c r="G12" i="1"/>
  <c r="G21" i="1"/>
  <c r="H21" i="1" s="1"/>
  <c r="G11" i="1"/>
  <c r="H11" i="1" s="1"/>
  <c r="G24" i="1"/>
  <c r="H24" i="1" s="1"/>
  <c r="G20" i="1"/>
  <c r="H20" i="1" s="1"/>
  <c r="G22" i="1"/>
  <c r="H22" i="1" s="1"/>
  <c r="K21" i="1" l="1"/>
  <c r="K24" i="1"/>
  <c r="K11" i="1"/>
  <c r="K20" i="1"/>
  <c r="H12" i="1"/>
  <c r="K12" i="1"/>
  <c r="K22" i="1"/>
  <c r="H9" i="1"/>
</calcChain>
</file>

<file path=xl/sharedStrings.xml><?xml version="1.0" encoding="utf-8"?>
<sst xmlns="http://schemas.openxmlformats.org/spreadsheetml/2006/main" count="224" uniqueCount="157">
  <si>
    <t>G</t>
  </si>
  <si>
    <t>C</t>
  </si>
  <si>
    <t>R</t>
  </si>
  <si>
    <t>I</t>
  </si>
  <si>
    <t>Heading</t>
  </si>
  <si>
    <t>Greenfield</t>
  </si>
  <si>
    <t>Co-Lo</t>
  </si>
  <si>
    <t>Rooftop</t>
  </si>
  <si>
    <t>In-Situ</t>
  </si>
  <si>
    <t>Site Type</t>
  </si>
  <si>
    <t>Photo Required</t>
  </si>
  <si>
    <t>Yes</t>
  </si>
  <si>
    <t>No</t>
  </si>
  <si>
    <t>N/A</t>
  </si>
  <si>
    <t>Comment Required if No or N/A</t>
  </si>
  <si>
    <t>Site Name</t>
  </si>
  <si>
    <t>Site Number</t>
  </si>
  <si>
    <t>Cluster</t>
  </si>
  <si>
    <t>Rfstart</t>
  </si>
  <si>
    <t>uWaveStart</t>
  </si>
  <si>
    <t/>
  </si>
  <si>
    <t>Attached ?</t>
  </si>
  <si>
    <t>eNodeB / Relay Photo Checklist</t>
  </si>
  <si>
    <t>Revision History</t>
  </si>
  <si>
    <t>Date</t>
  </si>
  <si>
    <t>Version</t>
  </si>
  <si>
    <t>Author</t>
  </si>
  <si>
    <t>Comments</t>
  </si>
  <si>
    <t>Reviewed By</t>
  </si>
  <si>
    <t>Workbook Instructions</t>
  </si>
  <si>
    <t>To run this spread sheet Macros need to be turned on.</t>
  </si>
  <si>
    <t>Select the Number of RF Sectors built</t>
  </si>
  <si>
    <t>Select the Number of uWave links built</t>
  </si>
  <si>
    <t>Complete Sections highlighted in green</t>
  </si>
  <si>
    <t>Checklist will auto populate with the required lists</t>
  </si>
  <si>
    <t>Manually insert the far ends of uWave links</t>
  </si>
  <si>
    <t>Manually insert the Site &amp; Cluster Details</t>
  </si>
  <si>
    <t>HIDDEN</t>
  </si>
  <si>
    <t>NSOC Site ID</t>
  </si>
  <si>
    <t>Using the scroll wheel to select the type of site constructed</t>
  </si>
  <si>
    <t>Read Instructions Tab before using this Document</t>
  </si>
  <si>
    <t xml:space="preserve"> &gt; Excel Options &gt; Trust Centre &gt; Trust Centre Settings &gt; Macro Settings &gt; Enable All  Macros</t>
  </si>
  <si>
    <t>To turn on Macros goto windows icon on top left of excel screen</t>
  </si>
  <si>
    <r>
      <rPr>
        <b/>
        <u/>
        <sz val="12"/>
        <color theme="1"/>
        <rFont val="Calibri"/>
        <family val="2"/>
        <scheme val="minor"/>
      </rPr>
      <t>Do Not</t>
    </r>
    <r>
      <rPr>
        <b/>
        <sz val="11"/>
        <color theme="1"/>
        <rFont val="Calibri"/>
        <family val="2"/>
        <scheme val="minor"/>
      </rPr>
      <t xml:space="preserve"> manually add any rows or columns to the spreadsheet</t>
    </r>
  </si>
  <si>
    <r>
      <t>3.2</t>
    </r>
    <r>
      <rPr>
        <b/>
        <sz val="7"/>
        <color rgb="FFD47600"/>
        <rFont val="Times New Roman"/>
        <family val="1"/>
      </rPr>
      <t xml:space="preserve">       </t>
    </r>
    <r>
      <rPr>
        <b/>
        <sz val="14"/>
        <color rgb="FFD47600"/>
        <rFont val="Arial"/>
        <family val="2"/>
      </rPr>
      <t>Image Quality</t>
    </r>
  </si>
  <si>
    <t>All photographs must have a specific subject, for example, a label attached to a rack or installation of the trays inside the racks. The subject of all photographs should be: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</si>
  <si>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In focus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</si>
  <si>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Obvious, large enough to see, and with sufficient background for identification purposes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</si>
  <si>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Not shadowed or obscured by other objects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</si>
  <si>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Not containing persons or other subjects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</si>
  <si>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Sufficiently illuminated, preferably with ambient light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</si>
  <si>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Straight on to the camera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</si>
  <si>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Vertically and horizontally aligned with the photograph edges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</si>
  <si>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Legible, particularly if containing text such as labels and serial numbers</t>
    </r>
  </si>
  <si>
    <t>A sufficient quantity of the background to the subject must also be visible to identify it, for example, the cable to which a label is attached, or racks in which the cable trays are installed. A visible stamp must also be included to show the date and time of the photograph.</t>
  </si>
  <si>
    <r>
      <t xml:space="preserve">Contractors must supply digital photograph files which conform to </t>
    </r>
    <r>
      <rPr>
        <i/>
        <sz val="10"/>
        <rFont val="Arial"/>
        <family val="2"/>
      </rPr>
      <t>Table 1 – Digital Photograph Specification</t>
    </r>
    <r>
      <rPr>
        <sz val="10"/>
        <color theme="1"/>
        <rFont val="Arial"/>
        <family val="2"/>
      </rPr>
      <t xml:space="preserve"> below. For information about parameters in the table, see </t>
    </r>
    <r>
      <rPr>
        <i/>
        <sz val="10"/>
        <color theme="1"/>
        <rFont val="Arial"/>
        <family val="2"/>
      </rPr>
      <t>Appendix A – Key Terms</t>
    </r>
    <r>
      <rPr>
        <sz val="10"/>
        <color theme="1"/>
        <rFont val="Arial"/>
        <family val="2"/>
      </rPr>
      <t>.</t>
    </r>
  </si>
  <si>
    <t>Parameter</t>
  </si>
  <si>
    <t>Specification</t>
  </si>
  <si>
    <t>Image Size</t>
  </si>
  <si>
    <t>1024 x 768 pixels</t>
  </si>
  <si>
    <t>Image Resolution</t>
  </si>
  <si>
    <t>72 dpi horizontal and vertical</t>
  </si>
  <si>
    <t>Image Bit Depth</t>
  </si>
  <si>
    <t>24 bits</t>
  </si>
  <si>
    <t>Image Aspect Ratio</t>
  </si>
  <si>
    <t>4:3 (horizontal rectangle) – all items except rack</t>
  </si>
  <si>
    <t>3:4 (vertical rectangle) – all racks</t>
  </si>
  <si>
    <t>File Size</t>
  </si>
  <si>
    <t>Less than 500 kb</t>
  </si>
  <si>
    <t>File Format</t>
  </si>
  <si>
    <t>JPEG</t>
  </si>
  <si>
    <t>File Name</t>
  </si>
  <si>
    <t>File (Exif) information</t>
  </si>
  <si>
    <t>Correct date and time included.</t>
  </si>
  <si>
    <t>Visible time/date stamp</t>
  </si>
  <si>
    <t>Included</t>
  </si>
  <si>
    <t>GPS Metadata</t>
  </si>
  <si>
    <t>Table 1 – Digital Photograph Specification</t>
  </si>
  <si>
    <r>
      <t xml:space="preserve">A digital camera with the specifications summarised in </t>
    </r>
    <r>
      <rPr>
        <i/>
        <sz val="10"/>
        <rFont val="Arial"/>
        <family val="2"/>
      </rPr>
      <t>Table 2 – Camera Recommendation</t>
    </r>
    <r>
      <rPr>
        <sz val="10"/>
        <color theme="1"/>
        <rFont val="Arial"/>
        <family val="2"/>
      </rPr>
      <t xml:space="preserve"> is recommended to take the photographs. Larger and more complex cameras with separate lenses are not required.</t>
    </r>
  </si>
  <si>
    <t>Recommendation</t>
  </si>
  <si>
    <t>Format</t>
  </si>
  <si>
    <t>Digital camera (compact model recommended)</t>
  </si>
  <si>
    <t>Resolution</t>
  </si>
  <si>
    <t>At least 3 megapixels</t>
  </si>
  <si>
    <t>Flash</t>
  </si>
  <si>
    <t>Required</t>
  </si>
  <si>
    <t>GPS Tagging</t>
  </si>
  <si>
    <t>Enabled</t>
  </si>
  <si>
    <t>Table 2 – Camera Recommendation</t>
  </si>
  <si>
    <t>Use the following good practices to help ensure good image quality: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</si>
  <si>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Ensure the battery is kept charged and a spare battery or charger taken on site so that photographs can be taken during installation without requiring a return visit.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</si>
  <si>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Ensure the memory card has sufficient space and/or take a spare memory card.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</si>
  <si>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Keep the lens clean.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</si>
  <si>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Do not shoot into bright light.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</si>
  <si>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Use available anti-shake settings and keep the camera steady.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</si>
  <si>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Use spot focus for small subjects, and area focus for larger subjects to ensure the subject is always in focus.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</si>
  <si>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Use macro or close-up setting for close or small subjects.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</si>
  <si>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Use natural light in preference to flash where possible.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</si>
  <si>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Set the correct light setting such as daylight or fluorescent and take an initial test photo before taking a series of photos in the same light conditions.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</si>
  <si>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Review each image after it is taken to ensure it is of sufficient quality.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</si>
  <si>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During long installation procedures, either periodically take photographs or use a checklist to ensure that no required subject is missed.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</si>
  <si>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Photograph a labelled subject at the beginning of a series of photographs to confirm its identity, or photograph a written sign if the item is not labelled.</t>
    </r>
  </si>
  <si>
    <r>
      <t xml:space="preserve">Avoid the following problems, some of which are shown in </t>
    </r>
    <r>
      <rPr>
        <i/>
        <sz val="10"/>
        <color theme="1"/>
        <rFont val="Arial"/>
        <family val="2"/>
      </rPr>
      <t>Figure 1 – Acceptable and Unacceptable Images</t>
    </r>
    <r>
      <rPr>
        <sz val="10"/>
        <color theme="1"/>
        <rFont val="Arial"/>
        <family val="2"/>
      </rPr>
      <t>: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</si>
  <si>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Over exposure – image too light or “washed out”.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</si>
  <si>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Under exposure – image too dark or obscured.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</si>
  <si>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Flash reflections – from shiny items such as metal or glass.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</si>
  <si>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Incorrect colour balance – due to wrong setting such as fluorescent light setting in daylight, or daylight setting in fluorescent light.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</si>
  <si>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Pixellation – may be caused by use of digital rather than optical zoom.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</si>
  <si>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Fluorescent light artefacts – lines or bars due to light strobe frequency.</t>
    </r>
  </si>
  <si>
    <t>Figure 1 – Acceptable and Unacceptable Images</t>
  </si>
  <si>
    <t>Extract from NBN-NO-GDE-0024 (V0.02 Draft)</t>
  </si>
  <si>
    <t>QA Process and Work Instructions</t>
  </si>
  <si>
    <r>
      <t xml:space="preserve">As specified in </t>
    </r>
    <r>
      <rPr>
        <strike/>
        <sz val="9"/>
        <color theme="1"/>
        <rFont val="Arial"/>
        <family val="2"/>
      </rPr>
      <t>section</t>
    </r>
    <r>
      <rPr>
        <i/>
        <strike/>
        <sz val="9"/>
        <color theme="1"/>
        <rFont val="Arial"/>
        <family val="2"/>
      </rPr>
      <t xml:space="preserve"> 3.3 Image Naming</t>
    </r>
    <r>
      <rPr>
        <i/>
        <sz val="12"/>
        <color rgb="FFFF0000"/>
        <rFont val="Arial"/>
        <family val="2"/>
      </rPr>
      <t xml:space="preserve"> PhotosTab</t>
    </r>
  </si>
  <si>
    <r>
      <rPr>
        <sz val="12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 Not Required for eNodeB or Core Network site pictures.</t>
    </r>
  </si>
  <si>
    <t>The Information contained in the latest CNI document (when updated) will supersede this Excel document.  It is the contractors responsibility to ensure the latest version (with respect to photo quality &amp; specifications) is used, this should be checked regularly and is available on Sharepoint at the link below.</t>
  </si>
  <si>
    <r>
      <rPr>
        <b/>
        <u/>
        <sz val="11"/>
        <color theme="1"/>
        <rFont val="Calibri"/>
        <family val="2"/>
        <scheme val="minor"/>
      </rPr>
      <t>Ensure</t>
    </r>
    <r>
      <rPr>
        <sz val="11"/>
        <color theme="1"/>
        <rFont val="Calibri"/>
        <family val="2"/>
        <scheme val="minor"/>
      </rPr>
      <t xml:space="preserve"> that all Photo standards are adhered to.
Standards for all photos are located on the </t>
    </r>
    <r>
      <rPr>
        <b/>
        <u/>
        <sz val="11"/>
        <color theme="1"/>
        <rFont val="Calibri"/>
        <family val="2"/>
        <scheme val="minor"/>
      </rPr>
      <t>Image Req</t>
    </r>
    <r>
      <rPr>
        <sz val="11"/>
        <color theme="1"/>
        <rFont val="Calibri"/>
        <family val="2"/>
        <scheme val="minor"/>
      </rPr>
      <t xml:space="preserve"> tab.  Ensure you read and understand the requirements.</t>
    </r>
  </si>
  <si>
    <t>Image Req</t>
  </si>
  <si>
    <t>DC_Panel</t>
  </si>
  <si>
    <t>SID</t>
  </si>
  <si>
    <t>RF_Tilts_Sector</t>
  </si>
  <si>
    <t>RF_AE_Detail_Sector</t>
  </si>
  <si>
    <t>Microwave antenna label showing clearly - antenna model, antenna serial number</t>
  </si>
  <si>
    <t>SEB_Earthing</t>
  </si>
  <si>
    <t>Battery_Sensor</t>
  </si>
  <si>
    <t>Photo as per MOP of battery sensor being installed</t>
  </si>
  <si>
    <t>Cabinet_Layout</t>
  </si>
  <si>
    <t>Panel antenna tilt on each sector - Sector 1 (similar to Sector_N_05 greenfield golden phto pack)</t>
  </si>
  <si>
    <t>Panel antenna label showing clearly - specific sector, antenna model, antenna serial number - Sector 1 (similar to Sector_N_06  greenfieldgolden phto pack)</t>
  </si>
  <si>
    <t>Face layout of cabinet clearly showing - number of rectifiers, all equipments and positions, the cabling layout, the AC/DC warning labels and RAN ACMA labels (similar to Equipment Cabinet/Shelter_01 from greenfield golden photo pack)</t>
  </si>
  <si>
    <t>DC circuit panel needs to show - an overall picture with gb locations (matching DC schedule), note need to be able to read cb rating may take multiple photos (similar to DC_01 in greenfield golden photo pack)</t>
  </si>
  <si>
    <t>DC circuit breaker allocation label needs to show - Site Name and Cabinet Number and needs to be fully legible (similar to DC_02 in greenfield golden photo pack)</t>
  </si>
  <si>
    <t>Site Earth Bar (SEB) under SSC 02 cabinet - ensure labels visible and legible and that connections points for each cable seen (multiple photos accepted)</t>
  </si>
  <si>
    <t>SID Checklist V1.0</t>
  </si>
  <si>
    <t>V1.0</t>
  </si>
  <si>
    <t>C.Jacobs</t>
  </si>
  <si>
    <t>Initial checklist translated from Powerpoint presentation</t>
  </si>
  <si>
    <t>Note :  These photos need to be better detailed than required for current golden packs</t>
  </si>
  <si>
    <t>MW_AE_Detail</t>
  </si>
  <si>
    <r>
      <t>Latitude and longitude included if the Global Positioning System (GPS) signal available.</t>
    </r>
    <r>
      <rPr>
        <sz val="12"/>
        <color theme="0"/>
        <rFont val="Arial"/>
        <family val="2"/>
      </rPr>
      <t>*</t>
    </r>
  </si>
  <si>
    <r>
      <t xml:space="preserve">Included (only for site access photographs) </t>
    </r>
    <r>
      <rPr>
        <sz val="12"/>
        <color theme="0"/>
        <rFont val="Arial"/>
        <family val="2"/>
      </rPr>
      <t>*</t>
    </r>
  </si>
  <si>
    <t>Need new antennas.</t>
  </si>
  <si>
    <t>2CUL-51-06_STAB_RF_AE_Detail_Sector_01.jpg</t>
  </si>
  <si>
    <t>RF_VET_Sector</t>
  </si>
  <si>
    <t>Panel antenna VET showing clearly showing paddle is set correctly and degree line touching the bottom edge of the antenna - Sector 1</t>
  </si>
  <si>
    <t>Panel antenna VET showing clearly showing paddle is set correctly and degree line touching the bottom edge of the antenna - Sector *counter</t>
  </si>
  <si>
    <t>Panel antenna tilt on each sector - Sector *counter (similar to Sector_*counter_05 greenfield golden phto pack)</t>
  </si>
  <si>
    <t>Panel antenna label showing clearly - specific sector, antenna model, antenna serial number - Sector *counter (similar to Sector_*counter_06  greenfieldgolden phto pack)</t>
  </si>
  <si>
    <t>Cabinet_Layout_01.jpg</t>
  </si>
  <si>
    <t>DC_Panel_01.jpg</t>
  </si>
  <si>
    <t>DC_Panel_02.jpg</t>
  </si>
  <si>
    <t>MW_AE_Detail_01.jpg</t>
  </si>
  <si>
    <t>MW_AE_Detail_02.jpg</t>
  </si>
  <si>
    <t>MW_AE_Detail_03.jpg</t>
  </si>
  <si>
    <t>SEB_Earthing_01.jpg</t>
  </si>
  <si>
    <t>Battery_Sensor_01.jpg</t>
  </si>
  <si>
    <t>__Sector_@num_05.jpg</t>
  </si>
  <si>
    <t>__Sector_@num_06.jpg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</si>
</sst>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d/mm/yy;@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26"/>
      <color rgb="FFFF0000"/>
      <name val="Calibri"/>
      <family val="2"/>
      <scheme val="minor"/>
    </font>
    <font>
      <sz val="28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D47600"/>
      <name val="Arial"/>
      <family val="2"/>
    </font>
    <font>
      <b/>
      <sz val="7"/>
      <color rgb="FFD47600"/>
      <name val="Times New Roman"/>
      <family val="1"/>
    </font>
    <font>
      <sz val="10"/>
      <color theme="1"/>
      <name val="Arial"/>
      <family val="2"/>
    </font>
    <font>
      <sz val="10"/>
      <color theme="1"/>
      <name val="Symbol"/>
      <family val="1"/>
      <charset val="2"/>
    </font>
    <font>
      <sz val="7"/>
      <color theme="1"/>
      <name val="Times New Roman"/>
      <family val="1"/>
    </font>
    <font>
      <i/>
      <sz val="10"/>
      <name val="Arial"/>
      <family val="2"/>
    </font>
    <font>
      <i/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b/>
      <sz val="9"/>
      <color rgb="FFD47600"/>
      <name val="Arial Bold"/>
    </font>
    <font>
      <u/>
      <sz val="11"/>
      <color theme="10"/>
      <name val="Calibri"/>
      <family val="2"/>
    </font>
    <font>
      <u/>
      <sz val="12"/>
      <color theme="10"/>
      <name val="Calibri"/>
      <family val="2"/>
    </font>
    <font>
      <i/>
      <sz val="12"/>
      <color rgb="FFFF0000"/>
      <name val="Arial"/>
      <family val="2"/>
    </font>
    <font>
      <sz val="12"/>
      <color rgb="FFFF0000"/>
      <name val="Calibri"/>
      <family val="2"/>
      <scheme val="minor"/>
    </font>
    <font>
      <i/>
      <strike/>
      <sz val="9"/>
      <color theme="1"/>
      <name val="Arial"/>
      <family val="2"/>
    </font>
    <font>
      <strike/>
      <sz val="9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theme="0"/>
      <name val="Arial"/>
      <family val="2"/>
    </font>
    <font>
      <sz val="12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47600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D47600"/>
      </left>
      <right style="thin">
        <color rgb="FFD47600"/>
      </right>
      <top style="medium">
        <color rgb="FFD47600"/>
      </top>
      <bottom style="thin">
        <color rgb="FFD47600"/>
      </bottom>
      <diagonal/>
    </border>
    <border>
      <left style="thin">
        <color rgb="FFD47600"/>
      </left>
      <right style="thin">
        <color rgb="FFD47600"/>
      </right>
      <top style="medium">
        <color rgb="FFD47600"/>
      </top>
      <bottom style="thin">
        <color rgb="FFD47600"/>
      </bottom>
      <diagonal/>
    </border>
    <border>
      <left style="thin">
        <color rgb="FFD47600"/>
      </left>
      <right style="medium">
        <color rgb="FFD47600"/>
      </right>
      <top style="medium">
        <color rgb="FFD47600"/>
      </top>
      <bottom style="thin">
        <color rgb="FFD47600"/>
      </bottom>
      <diagonal/>
    </border>
    <border>
      <left style="medium">
        <color rgb="FFD47600"/>
      </left>
      <right style="thin">
        <color rgb="FFD47600"/>
      </right>
      <top style="thin">
        <color rgb="FFD47600"/>
      </top>
      <bottom style="thin">
        <color rgb="FFD47600"/>
      </bottom>
      <diagonal/>
    </border>
    <border>
      <left style="thin">
        <color rgb="FFD47600"/>
      </left>
      <right style="thin">
        <color rgb="FFD47600"/>
      </right>
      <top style="thin">
        <color rgb="FFD47600"/>
      </top>
      <bottom style="thin">
        <color rgb="FFD47600"/>
      </bottom>
      <diagonal/>
    </border>
    <border>
      <left style="thin">
        <color rgb="FFD47600"/>
      </left>
      <right style="medium">
        <color rgb="FFD47600"/>
      </right>
      <top style="thin">
        <color rgb="FFD47600"/>
      </top>
      <bottom style="thin">
        <color rgb="FFD47600"/>
      </bottom>
      <diagonal/>
    </border>
    <border>
      <left style="medium">
        <color rgb="FFD47600"/>
      </left>
      <right style="thin">
        <color rgb="FFD47600"/>
      </right>
      <top style="thin">
        <color rgb="FFD47600"/>
      </top>
      <bottom style="medium">
        <color rgb="FFD47600"/>
      </bottom>
      <diagonal/>
    </border>
    <border>
      <left style="thin">
        <color rgb="FFD47600"/>
      </left>
      <right style="thin">
        <color rgb="FFD47600"/>
      </right>
      <top style="thin">
        <color rgb="FFD47600"/>
      </top>
      <bottom style="medium">
        <color rgb="FFD47600"/>
      </bottom>
      <diagonal/>
    </border>
    <border>
      <left style="thin">
        <color rgb="FFD47600"/>
      </left>
      <right style="medium">
        <color rgb="FFD47600"/>
      </right>
      <top style="thin">
        <color rgb="FFD47600"/>
      </top>
      <bottom style="medium">
        <color rgb="FFD47600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D47600"/>
      </left>
      <right/>
      <top style="thin">
        <color rgb="FFD47600"/>
      </top>
      <bottom/>
      <diagonal/>
    </border>
    <border>
      <left/>
      <right/>
      <top style="thin">
        <color rgb="FFD47600"/>
      </top>
      <bottom/>
      <diagonal/>
    </border>
    <border>
      <left/>
      <right style="medium">
        <color rgb="FFD47600"/>
      </right>
      <top style="thin">
        <color rgb="FFD47600"/>
      </top>
      <bottom/>
      <diagonal/>
    </border>
    <border>
      <left style="thin">
        <color rgb="FFD47600"/>
      </left>
      <right/>
      <top/>
      <bottom style="thin">
        <color rgb="FFD47600"/>
      </bottom>
      <diagonal/>
    </border>
    <border>
      <left/>
      <right/>
      <top/>
      <bottom style="thin">
        <color rgb="FFD47600"/>
      </bottom>
      <diagonal/>
    </border>
    <border>
      <left/>
      <right style="medium">
        <color rgb="FFD47600"/>
      </right>
      <top/>
      <bottom style="thin">
        <color rgb="FFD47600"/>
      </bottom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/>
      <top style="medium">
        <color rgb="FFD47600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9" fillId="0" borderId="0"/>
    <xf numFmtId="0" fontId="27" fillId="0" borderId="0" applyNumberFormat="0" applyFill="0" applyBorder="0" applyAlignment="0" applyProtection="0">
      <alignment vertical="top"/>
      <protection locked="0"/>
    </xf>
  </cellStyleXfs>
  <cellXfs count="181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Font="1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1" xfId="0" applyFont="1" applyBorder="1"/>
    <xf numFmtId="0" fontId="0" fillId="0" borderId="1" xfId="0" applyBorder="1"/>
    <xf numFmtId="0" fontId="0" fillId="0" borderId="3" xfId="0" applyFont="1" applyBorder="1"/>
    <xf numFmtId="0" fontId="2" fillId="0" borderId="0" xfId="0" applyFont="1" applyBorder="1"/>
    <xf numFmtId="0" fontId="0" fillId="0" borderId="0" xfId="0" applyFill="1" applyAlignment="1">
      <alignment horizontal="left"/>
    </xf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0" fontId="0" fillId="0" borderId="0" xfId="0" applyFill="1" applyBorder="1"/>
    <xf numFmtId="0" fontId="2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/>
    </xf>
    <xf numFmtId="0" fontId="0" fillId="0" borderId="0" xfId="0" applyFont="1" applyBorder="1"/>
    <xf numFmtId="0" fontId="0" fillId="0" borderId="0" xfId="0" applyFill="1" applyBorder="1" applyAlignment="1">
      <alignment horizontal="left"/>
    </xf>
    <xf numFmtId="0" fontId="2" fillId="0" borderId="13" xfId="0" applyFont="1" applyBorder="1"/>
    <xf numFmtId="0" fontId="0" fillId="0" borderId="13" xfId="0" applyBorder="1"/>
    <xf numFmtId="0" fontId="3" fillId="4" borderId="0" xfId="0" applyFont="1" applyFill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164" fontId="0" fillId="0" borderId="0" xfId="1" applyFont="1"/>
    <xf numFmtId="164" fontId="0" fillId="5" borderId="11" xfId="1" applyFont="1" applyFill="1" applyBorder="1"/>
    <xf numFmtId="164" fontId="0" fillId="5" borderId="12" xfId="1" applyFont="1" applyFill="1" applyBorder="1"/>
    <xf numFmtId="164" fontId="0" fillId="0" borderId="20" xfId="1" applyFont="1" applyBorder="1"/>
    <xf numFmtId="164" fontId="0" fillId="0" borderId="20" xfId="1" applyFont="1" applyBorder="1" applyAlignment="1">
      <alignment wrapText="1"/>
    </xf>
    <xf numFmtId="164" fontId="0" fillId="0" borderId="21" xfId="1" applyFont="1" applyBorder="1"/>
    <xf numFmtId="164" fontId="0" fillId="0" borderId="1" xfId="1" applyFont="1" applyBorder="1"/>
    <xf numFmtId="164" fontId="0" fillId="0" borderId="1" xfId="1" applyFont="1" applyBorder="1" applyAlignment="1">
      <alignment wrapText="1"/>
    </xf>
    <xf numFmtId="164" fontId="0" fillId="0" borderId="6" xfId="1" applyFont="1" applyBorder="1"/>
    <xf numFmtId="164" fontId="0" fillId="0" borderId="8" xfId="1" applyFont="1" applyBorder="1"/>
    <xf numFmtId="164" fontId="0" fillId="0" borderId="8" xfId="1" applyFont="1" applyBorder="1" applyAlignment="1">
      <alignment wrapText="1"/>
    </xf>
    <xf numFmtId="164" fontId="0" fillId="0" borderId="9" xfId="1" applyFont="1" applyBorder="1"/>
    <xf numFmtId="164" fontId="1" fillId="0" borderId="0" xfId="1" applyFont="1"/>
    <xf numFmtId="164" fontId="0" fillId="0" borderId="0" xfId="1" applyFont="1" applyBorder="1"/>
    <xf numFmtId="49" fontId="0" fillId="0" borderId="0" xfId="1" applyNumberFormat="1" applyFont="1" applyBorder="1"/>
    <xf numFmtId="164" fontId="0" fillId="0" borderId="0" xfId="1" applyFont="1" applyBorder="1" applyAlignment="1">
      <alignment wrapText="1"/>
    </xf>
    <xf numFmtId="0" fontId="4" fillId="0" borderId="0" xfId="0" applyFont="1" applyFill="1" applyAlignment="1">
      <alignment horizontal="right"/>
    </xf>
    <xf numFmtId="0" fontId="10" fillId="3" borderId="0" xfId="0" applyFont="1" applyFill="1" applyAlignment="1">
      <alignment horizontal="center" vertical="center" wrapText="1"/>
    </xf>
    <xf numFmtId="0" fontId="13" fillId="6" borderId="17" xfId="0" applyFont="1" applyFill="1" applyBorder="1" applyAlignment="1">
      <alignment vertical="center"/>
    </xf>
    <xf numFmtId="0" fontId="11" fillId="6" borderId="13" xfId="0" applyFont="1" applyFill="1" applyBorder="1"/>
    <xf numFmtId="0" fontId="14" fillId="6" borderId="13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vertical="center"/>
    </xf>
    <xf numFmtId="0" fontId="14" fillId="6" borderId="18" xfId="0" applyFont="1" applyFill="1" applyBorder="1" applyAlignment="1">
      <alignment vertical="center"/>
    </xf>
    <xf numFmtId="0" fontId="2" fillId="0" borderId="0" xfId="0" applyFont="1" applyFill="1" applyAlignment="1">
      <alignment horizontal="left"/>
    </xf>
    <xf numFmtId="0" fontId="2" fillId="0" borderId="0" xfId="0" applyFont="1" applyFill="1" applyBorder="1" applyAlignment="1">
      <alignment horizontal="left"/>
    </xf>
    <xf numFmtId="0" fontId="12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5" fillId="0" borderId="22" xfId="0" applyFont="1" applyFill="1" applyBorder="1" applyAlignment="1">
      <alignment horizontal="center" vertical="center"/>
    </xf>
    <xf numFmtId="165" fontId="0" fillId="0" borderId="0" xfId="1" applyNumberFormat="1" applyFont="1"/>
    <xf numFmtId="165" fontId="0" fillId="5" borderId="10" xfId="1" applyNumberFormat="1" applyFont="1" applyFill="1" applyBorder="1"/>
    <xf numFmtId="165" fontId="0" fillId="0" borderId="0" xfId="1" applyNumberFormat="1" applyFont="1" applyBorder="1"/>
    <xf numFmtId="0" fontId="27" fillId="0" borderId="0" xfId="2" applyAlignment="1" applyProtection="1"/>
    <xf numFmtId="0" fontId="0" fillId="0" borderId="50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26" fillId="0" borderId="0" xfId="0" applyFont="1" applyBorder="1" applyAlignment="1">
      <alignment horizontal="left"/>
    </xf>
    <xf numFmtId="0" fontId="19" fillId="0" borderId="0" xfId="0" applyFont="1" applyBorder="1" applyAlignment="1"/>
    <xf numFmtId="0" fontId="0" fillId="0" borderId="0" xfId="0" applyBorder="1" applyAlignment="1"/>
    <xf numFmtId="0" fontId="20" fillId="0" borderId="0" xfId="0" applyFont="1" applyBorder="1" applyAlignment="1">
      <alignment horizontal="left" vertical="center" wrapText="1"/>
    </xf>
    <xf numFmtId="0" fontId="20" fillId="0" borderId="0" xfId="0" applyFont="1" applyBorder="1" applyAlignment="1"/>
    <xf numFmtId="0" fontId="20" fillId="0" borderId="56" xfId="0" applyFont="1" applyBorder="1" applyAlignment="1"/>
    <xf numFmtId="0" fontId="0" fillId="0" borderId="56" xfId="0" applyBorder="1" applyAlignment="1"/>
    <xf numFmtId="49" fontId="0" fillId="0" borderId="20" xfId="1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65" fontId="0" fillId="0" borderId="5" xfId="1" applyNumberFormat="1" applyFont="1" applyBorder="1" applyAlignment="1">
      <alignment horizontal="center"/>
    </xf>
    <xf numFmtId="49" fontId="0" fillId="0" borderId="1" xfId="1" applyNumberFormat="1" applyFont="1" applyBorder="1" applyAlignment="1">
      <alignment horizontal="center"/>
    </xf>
    <xf numFmtId="165" fontId="0" fillId="0" borderId="7" xfId="1" applyNumberFormat="1" applyFont="1" applyBorder="1" applyAlignment="1">
      <alignment horizontal="center"/>
    </xf>
    <xf numFmtId="49" fontId="0" fillId="0" borderId="8" xfId="1" applyNumberFormat="1" applyFont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5" fillId="2" borderId="0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5" fillId="2" borderId="13" xfId="0" applyFont="1" applyFill="1" applyBorder="1" applyAlignment="1">
      <alignment horizontal="left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4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0" fillId="0" borderId="6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59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vertical="center" wrapText="1"/>
    </xf>
    <xf numFmtId="0" fontId="0" fillId="8" borderId="60" xfId="0" applyFont="1" applyFill="1" applyBorder="1" applyAlignment="1">
      <alignment horizontal="left" vertical="center" wrapText="1"/>
    </xf>
    <xf numFmtId="0" fontId="0" fillId="0" borderId="2" xfId="0" applyFill="1" applyBorder="1" applyAlignment="1">
      <alignment horizontal="left" vertical="center"/>
    </xf>
    <xf numFmtId="0" fontId="0" fillId="0" borderId="0" xfId="0" applyAlignment="1"/>
    <xf numFmtId="0" fontId="0" fillId="0" borderId="0" xfId="0" applyFill="1" applyAlignment="1"/>
    <xf numFmtId="0" fontId="0" fillId="0" borderId="3" xfId="0" applyFont="1" applyBorder="1" applyAlignment="1"/>
    <xf numFmtId="0" fontId="0" fillId="0" borderId="0" xfId="0" applyFont="1" applyBorder="1" applyAlignment="1"/>
    <xf numFmtId="0" fontId="2" fillId="0" borderId="0" xfId="0" applyFont="1" applyAlignment="1"/>
    <xf numFmtId="0" fontId="0" fillId="0" borderId="5" xfId="0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 wrapText="1"/>
    </xf>
    <xf numFmtId="0" fontId="0" fillId="0" borderId="60" xfId="0" applyFont="1" applyFill="1" applyBorder="1" applyAlignment="1">
      <alignment horizontal="left" vertical="center" wrapText="1"/>
    </xf>
    <xf numFmtId="0" fontId="5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0" borderId="0" xfId="0" applyFont="1" applyFill="1" applyBorder="1"/>
    <xf numFmtId="164" fontId="0" fillId="0" borderId="1" xfId="1" applyFont="1" applyBorder="1" applyAlignment="1">
      <alignment horizontal="left"/>
    </xf>
    <xf numFmtId="164" fontId="0" fillId="4" borderId="17" xfId="1" applyFont="1" applyFill="1" applyBorder="1" applyAlignment="1">
      <alignment horizontal="center"/>
    </xf>
    <xf numFmtId="164" fontId="0" fillId="4" borderId="13" xfId="1" applyFont="1" applyFill="1" applyBorder="1" applyAlignment="1">
      <alignment horizontal="center"/>
    </xf>
    <xf numFmtId="164" fontId="0" fillId="4" borderId="18" xfId="1" applyFont="1" applyFill="1" applyBorder="1" applyAlignment="1">
      <alignment horizontal="center"/>
    </xf>
    <xf numFmtId="0" fontId="7" fillId="0" borderId="0" xfId="0" applyFont="1" applyFill="1" applyAlignment="1">
      <alignment horizontal="center" vertical="center"/>
    </xf>
    <xf numFmtId="164" fontId="16" fillId="5" borderId="0" xfId="1" applyFont="1" applyFill="1" applyAlignment="1">
      <alignment horizontal="center"/>
    </xf>
    <xf numFmtId="164" fontId="0" fillId="0" borderId="0" xfId="1" applyFont="1" applyBorder="1" applyAlignment="1">
      <alignment horizontal="left"/>
    </xf>
    <xf numFmtId="164" fontId="0" fillId="0" borderId="20" xfId="1" applyFont="1" applyBorder="1" applyAlignment="1">
      <alignment horizontal="left"/>
    </xf>
    <xf numFmtId="164" fontId="0" fillId="0" borderId="0" xfId="1" applyFont="1" applyFill="1" applyAlignment="1">
      <alignment horizontal="left" wrapText="1"/>
    </xf>
    <xf numFmtId="0" fontId="17" fillId="0" borderId="0" xfId="0" applyFont="1" applyAlignment="1">
      <alignment horizontal="left"/>
    </xf>
    <xf numFmtId="0" fontId="24" fillId="0" borderId="33" xfId="0" applyFont="1" applyBorder="1" applyAlignment="1">
      <alignment horizontal="left" vertical="center" wrapText="1"/>
    </xf>
    <xf numFmtId="0" fontId="24" fillId="0" borderId="34" xfId="0" applyFont="1" applyBorder="1" applyAlignment="1">
      <alignment horizontal="left" vertical="center" wrapText="1"/>
    </xf>
    <xf numFmtId="0" fontId="25" fillId="7" borderId="0" xfId="0" applyFont="1" applyFill="1" applyBorder="1" applyAlignment="1">
      <alignment horizontal="center" vertical="top" wrapText="1"/>
    </xf>
    <xf numFmtId="0" fontId="25" fillId="7" borderId="47" xfId="0" applyFont="1" applyFill="1" applyBorder="1" applyAlignment="1">
      <alignment horizontal="center" vertical="top" wrapText="1"/>
    </xf>
    <xf numFmtId="0" fontId="25" fillId="7" borderId="48" xfId="0" applyFont="1" applyFill="1" applyBorder="1" applyAlignment="1">
      <alignment horizontal="center" vertical="top" wrapText="1"/>
    </xf>
    <xf numFmtId="0" fontId="19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/>
    </xf>
    <xf numFmtId="0" fontId="34" fillId="0" borderId="41" xfId="0" applyFont="1" applyBorder="1" applyAlignment="1">
      <alignment horizontal="left" vertical="center" wrapText="1"/>
    </xf>
    <xf numFmtId="0" fontId="34" fillId="0" borderId="42" xfId="0" applyFont="1" applyBorder="1" applyAlignment="1">
      <alignment horizontal="left" vertical="center" wrapText="1"/>
    </xf>
    <xf numFmtId="0" fontId="34" fillId="0" borderId="43" xfId="0" applyFont="1" applyBorder="1" applyAlignment="1">
      <alignment horizontal="left" vertical="center" wrapText="1"/>
    </xf>
    <xf numFmtId="0" fontId="34" fillId="0" borderId="44" xfId="0" applyFont="1" applyBorder="1" applyAlignment="1">
      <alignment horizontal="left" vertical="center" wrapText="1"/>
    </xf>
    <xf numFmtId="0" fontId="34" fillId="0" borderId="45" xfId="0" applyFont="1" applyBorder="1" applyAlignment="1">
      <alignment horizontal="left" vertical="center" wrapText="1"/>
    </xf>
    <xf numFmtId="0" fontId="34" fillId="0" borderId="46" xfId="0" applyFont="1" applyBorder="1" applyAlignment="1">
      <alignment horizontal="left" vertical="center" wrapText="1"/>
    </xf>
    <xf numFmtId="0" fontId="24" fillId="0" borderId="29" xfId="0" applyFont="1" applyBorder="1" applyAlignment="1">
      <alignment vertical="center" wrapText="1"/>
    </xf>
    <xf numFmtId="0" fontId="24" fillId="0" borderId="30" xfId="0" applyFont="1" applyBorder="1" applyAlignment="1">
      <alignment vertical="center" wrapText="1"/>
    </xf>
    <xf numFmtId="0" fontId="24" fillId="0" borderId="26" xfId="0" applyFont="1" applyBorder="1" applyAlignment="1">
      <alignment vertical="center" wrapText="1"/>
    </xf>
    <xf numFmtId="0" fontId="24" fillId="0" borderId="27" xfId="0" applyFont="1" applyBorder="1" applyAlignment="1">
      <alignment vertical="center" wrapText="1"/>
    </xf>
    <xf numFmtId="0" fontId="34" fillId="0" borderId="27" xfId="0" applyFont="1" applyBorder="1" applyAlignment="1">
      <alignment horizontal="left" vertical="center" wrapText="1"/>
    </xf>
    <xf numFmtId="0" fontId="34" fillId="0" borderId="28" xfId="0" applyFont="1" applyBorder="1" applyAlignment="1">
      <alignment horizontal="left" vertical="center" wrapText="1"/>
    </xf>
    <xf numFmtId="0" fontId="34" fillId="0" borderId="30" xfId="0" applyFont="1" applyBorder="1" applyAlignment="1">
      <alignment horizontal="left" vertical="center" wrapText="1"/>
    </xf>
    <xf numFmtId="0" fontId="34" fillId="0" borderId="31" xfId="0" applyFont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36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/>
    </xf>
    <xf numFmtId="0" fontId="17" fillId="0" borderId="51" xfId="0" applyFont="1" applyBorder="1" applyAlignment="1">
      <alignment horizontal="left"/>
    </xf>
    <xf numFmtId="0" fontId="25" fillId="7" borderId="23" xfId="0" applyFont="1" applyFill="1" applyBorder="1" applyAlignment="1">
      <alignment horizontal="center" vertical="center" wrapText="1"/>
    </xf>
    <xf numFmtId="0" fontId="25" fillId="7" borderId="24" xfId="0" applyFont="1" applyFill="1" applyBorder="1" applyAlignment="1">
      <alignment horizontal="center" vertical="center" wrapText="1"/>
    </xf>
    <xf numFmtId="0" fontId="24" fillId="0" borderId="26" xfId="0" applyFont="1" applyBorder="1" applyAlignment="1">
      <alignment vertical="top" wrapText="1"/>
    </xf>
    <xf numFmtId="0" fontId="24" fillId="0" borderId="27" xfId="0" applyFont="1" applyBorder="1" applyAlignment="1">
      <alignment vertical="top" wrapText="1"/>
    </xf>
    <xf numFmtId="0" fontId="24" fillId="0" borderId="27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38" xfId="0" applyFont="1" applyBorder="1" applyAlignment="1">
      <alignment horizontal="left" vertical="center" wrapText="1"/>
    </xf>
    <xf numFmtId="0" fontId="24" fillId="0" borderId="39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wrapText="1"/>
    </xf>
    <xf numFmtId="0" fontId="0" fillId="0" borderId="49" xfId="0" applyBorder="1" applyAlignment="1">
      <alignment horizontal="left"/>
    </xf>
    <xf numFmtId="0" fontId="20" fillId="0" borderId="0" xfId="0" applyFont="1" applyBorder="1" applyAlignment="1">
      <alignment horizontal="left" vertical="center" wrapText="1"/>
    </xf>
    <xf numFmtId="0" fontId="34" fillId="0" borderId="39" xfId="0" applyFont="1" applyBorder="1" applyAlignment="1">
      <alignment horizontal="left" vertical="center" wrapText="1"/>
    </xf>
    <xf numFmtId="0" fontId="34" fillId="0" borderId="40" xfId="0" applyFont="1" applyBorder="1" applyAlignment="1">
      <alignment horizontal="left" vertical="center" wrapText="1"/>
    </xf>
    <xf numFmtId="0" fontId="24" fillId="0" borderId="37" xfId="0" applyFont="1" applyBorder="1" applyAlignment="1">
      <alignment horizontal="left" vertical="center" wrapText="1"/>
    </xf>
    <xf numFmtId="0" fontId="25" fillId="7" borderId="2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28" fillId="0" borderId="0" xfId="2" applyFont="1" applyAlignment="1" applyProtection="1">
      <alignment horizontal="center"/>
    </xf>
    <xf numFmtId="0" fontId="4" fillId="0" borderId="14" xfId="0" applyFont="1" applyFill="1" applyBorder="1" applyAlignment="1">
      <alignment horizontal="center" wrapText="1"/>
    </xf>
    <xf numFmtId="0" fontId="4" fillId="0" borderId="58" xfId="0" applyFont="1" applyFill="1" applyBorder="1" applyAlignment="1">
      <alignment horizontal="center" wrapText="1"/>
    </xf>
    <xf numFmtId="164" fontId="0" fillId="5" borderId="17" xfId="1" applyFont="1" applyFill="1" applyBorder="1" applyAlignment="1">
      <alignment horizontal="center"/>
    </xf>
    <xf numFmtId="0" fontId="0" fillId="0" borderId="13" xfId="0" applyBorder="1"/>
    <xf numFmtId="0" fontId="0" fillId="0" borderId="18" xfId="0" applyBorder="1"/>
  </cellXfs>
  <cellStyles count="3">
    <cellStyle name="Hyperlink" xfId="2" builtinId="8"/>
    <cellStyle name="Normal" xfId="0" builtinId="0"/>
    <cellStyle name="Normal 2" xfId="1"/>
  </cellStyles>
  <dxfs count="4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G$5" max="4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42</xdr:row>
      <xdr:rowOff>828675</xdr:rowOff>
    </xdr:from>
    <xdr:to>
      <xdr:col>17</xdr:col>
      <xdr:colOff>295275</xdr:colOff>
      <xdr:row>42</xdr:row>
      <xdr:rowOff>1362075</xdr:rowOff>
    </xdr:to>
    <xdr:pic>
      <xdr:nvPicPr>
        <xdr:cNvPr id="2051" name="Picture 30" descr="Good4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3392150" y="9010650"/>
          <a:ext cx="2428875" cy="533400"/>
        </a:xfrm>
        <a:prstGeom prst="rect">
          <a:avLst/>
        </a:prstGeom>
        <a:noFill/>
      </xdr:spPr>
    </xdr:pic>
    <xdr:clientData/>
  </xdr:twoCellAnchor>
  <xdr:twoCellAnchor>
    <xdr:from>
      <xdr:col>14</xdr:col>
      <xdr:colOff>581025</xdr:colOff>
      <xdr:row>5</xdr:row>
      <xdr:rowOff>161925</xdr:rowOff>
    </xdr:from>
    <xdr:to>
      <xdr:col>25</xdr:col>
      <xdr:colOff>533400</xdr:colOff>
      <xdr:row>70</xdr:row>
      <xdr:rowOff>9524</xdr:rowOff>
    </xdr:to>
    <xdr:grpSp>
      <xdr:nvGrpSpPr>
        <xdr:cNvPr id="15" name="Group 14"/>
        <xdr:cNvGrpSpPr/>
      </xdr:nvGrpSpPr>
      <xdr:grpSpPr>
        <a:xfrm>
          <a:off x="9496425" y="1695450"/>
          <a:ext cx="6943725" cy="12153899"/>
          <a:chOff x="9544050" y="504825"/>
          <a:chExt cx="6067425" cy="10934700"/>
        </a:xfrm>
      </xdr:grpSpPr>
      <xdr:pic>
        <xdr:nvPicPr>
          <xdr:cNvPr id="2057" name="Picture 9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9544050" y="504825"/>
            <a:ext cx="6067425" cy="8734425"/>
          </a:xfrm>
          <a:prstGeom prst="rect">
            <a:avLst/>
          </a:prstGeom>
          <a:noFill/>
          <a:ln w="1">
            <a:noFill/>
            <a:miter lim="800000"/>
            <a:headEnd/>
            <a:tailEnd type="none" w="med" len="med"/>
          </a:ln>
          <a:effectLst/>
        </xdr:spPr>
      </xdr:pic>
      <xdr:pic>
        <xdr:nvPicPr>
          <xdr:cNvPr id="2059" name="Picture 11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9582150" y="9220200"/>
            <a:ext cx="5991225" cy="2219325"/>
          </a:xfrm>
          <a:prstGeom prst="rect">
            <a:avLst/>
          </a:prstGeom>
          <a:noFill/>
          <a:ln w="1">
            <a:noFill/>
            <a:miter lim="800000"/>
            <a:headEnd/>
            <a:tailEnd type="none" w="med" len="med"/>
          </a:ln>
          <a:effectLst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4</xdr:row>
          <xdr:rowOff>0</xdr:rowOff>
        </xdr:from>
        <xdr:to>
          <xdr:col>1</xdr:col>
          <xdr:colOff>5314950</xdr:colOff>
          <xdr:row>5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ortal.nbnco.net.au/operationalhandover/QAProcess/Forms/AllItems.aspx?RootFolder=%2Foperationalhandover%2FQAProcess%2FQA%20WORKSHOP%20DRAFT%20PROCEDURES%2FWIRELESS%20QA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__Sector_@num_05.jpg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__Sector_@num_06.jpg" TargetMode="External"/><Relationship Id="rId1" Type="http://schemas.openxmlformats.org/officeDocument/2006/relationships/hyperlink" Target="mailto:__Sector_@num_05.jpg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24"/>
  <sheetViews>
    <sheetView workbookViewId="0">
      <selection activeCell="B5" sqref="B5:E5"/>
    </sheetView>
  </sheetViews>
  <sheetFormatPr defaultRowHeight="15" x14ac:dyDescent="0.25"/>
  <cols>
    <col min="3" max="3" width="81" customWidth="1"/>
  </cols>
  <sheetData>
    <row r="1" spans="2:6" s="1" customFormat="1" ht="14.45" x14ac:dyDescent="0.3"/>
    <row r="2" spans="2:6" s="1" customFormat="1" ht="14.45" x14ac:dyDescent="0.3"/>
    <row r="3" spans="2:6" s="1" customFormat="1" ht="36.6" x14ac:dyDescent="0.3">
      <c r="B3" s="127" t="s">
        <v>22</v>
      </c>
      <c r="C3" s="127"/>
      <c r="D3" s="127"/>
      <c r="E3" s="127"/>
    </row>
    <row r="5" spans="2:6" ht="21" x14ac:dyDescent="0.4">
      <c r="B5" s="128" t="s">
        <v>29</v>
      </c>
      <c r="C5" s="128"/>
      <c r="D5" s="128"/>
      <c r="E5" s="128"/>
    </row>
    <row r="6" spans="2:6" ht="14.45" x14ac:dyDescent="0.3">
      <c r="B6" s="30"/>
      <c r="C6" s="30"/>
      <c r="D6" s="30"/>
      <c r="E6" s="30"/>
    </row>
    <row r="7" spans="2:6" ht="14.45" x14ac:dyDescent="0.3">
      <c r="B7" s="42" t="s">
        <v>30</v>
      </c>
      <c r="C7" s="30"/>
      <c r="D7" s="30"/>
      <c r="E7" s="30"/>
    </row>
    <row r="8" spans="2:6" ht="14.45" x14ac:dyDescent="0.3">
      <c r="B8" s="42"/>
      <c r="C8" s="30"/>
      <c r="D8" s="30"/>
      <c r="E8" s="30"/>
      <c r="F8" s="30"/>
    </row>
    <row r="9" spans="2:6" ht="14.45" x14ac:dyDescent="0.3">
      <c r="B9" s="42" t="s">
        <v>42</v>
      </c>
      <c r="C9" s="30"/>
      <c r="D9" s="30"/>
      <c r="E9" s="30"/>
    </row>
    <row r="10" spans="2:6" ht="14.45" x14ac:dyDescent="0.3">
      <c r="B10" s="42" t="s">
        <v>41</v>
      </c>
      <c r="C10" s="30"/>
      <c r="D10" s="30"/>
      <c r="E10" s="30"/>
    </row>
    <row r="11" spans="2:6" s="1" customFormat="1" ht="14.45" x14ac:dyDescent="0.3">
      <c r="B11" s="42"/>
      <c r="C11" s="30"/>
      <c r="D11" s="30"/>
      <c r="E11" s="30"/>
    </row>
    <row r="12" spans="2:6" x14ac:dyDescent="0.25">
      <c r="B12" s="131" t="s">
        <v>115</v>
      </c>
      <c r="C12" s="131"/>
      <c r="D12" s="131"/>
      <c r="E12" s="131"/>
    </row>
    <row r="13" spans="2:6" x14ac:dyDescent="0.25">
      <c r="B13" s="131"/>
      <c r="C13" s="131"/>
      <c r="D13" s="131"/>
      <c r="E13" s="131"/>
    </row>
    <row r="14" spans="2:6" ht="14.45" x14ac:dyDescent="0.3">
      <c r="B14" s="61" t="s">
        <v>116</v>
      </c>
    </row>
    <row r="16" spans="2:6" ht="15.6" x14ac:dyDescent="0.3">
      <c r="B16" s="42" t="s">
        <v>43</v>
      </c>
      <c r="C16" s="30"/>
      <c r="D16" s="30"/>
      <c r="E16" s="30"/>
    </row>
    <row r="17" spans="2:5" ht="14.45" x14ac:dyDescent="0.3">
      <c r="B17" s="129" t="s">
        <v>34</v>
      </c>
      <c r="C17" s="129"/>
      <c r="D17" s="129"/>
      <c r="E17" s="129"/>
    </row>
    <row r="18" spans="2:5" thickBot="1" x14ac:dyDescent="0.35">
      <c r="B18" s="30"/>
      <c r="C18" s="30"/>
      <c r="D18" s="30"/>
      <c r="E18" s="30"/>
    </row>
    <row r="19" spans="2:5" thickBot="1" x14ac:dyDescent="0.35">
      <c r="B19" s="124" t="s">
        <v>33</v>
      </c>
      <c r="C19" s="125"/>
      <c r="D19" s="125"/>
      <c r="E19" s="126"/>
    </row>
    <row r="20" spans="2:5" ht="14.45" x14ac:dyDescent="0.3">
      <c r="B20" s="130" t="s">
        <v>31</v>
      </c>
      <c r="C20" s="130"/>
      <c r="D20" s="130"/>
      <c r="E20" s="130"/>
    </row>
    <row r="21" spans="2:5" ht="14.45" x14ac:dyDescent="0.3">
      <c r="B21" s="123" t="s">
        <v>32</v>
      </c>
      <c r="C21" s="123"/>
      <c r="D21" s="123"/>
      <c r="E21" s="123"/>
    </row>
    <row r="22" spans="2:5" ht="14.45" x14ac:dyDescent="0.3">
      <c r="B22" s="123" t="s">
        <v>39</v>
      </c>
      <c r="C22" s="123"/>
      <c r="D22" s="123"/>
      <c r="E22" s="123"/>
    </row>
    <row r="23" spans="2:5" ht="14.45" x14ac:dyDescent="0.3">
      <c r="B23" s="123" t="s">
        <v>35</v>
      </c>
      <c r="C23" s="123"/>
      <c r="D23" s="123"/>
      <c r="E23" s="123"/>
    </row>
    <row r="24" spans="2:5" ht="14.45" x14ac:dyDescent="0.3">
      <c r="B24" s="123" t="s">
        <v>36</v>
      </c>
      <c r="C24" s="123"/>
      <c r="D24" s="123"/>
      <c r="E24" s="123"/>
    </row>
  </sheetData>
  <mergeCells count="10">
    <mergeCell ref="B24:E24"/>
    <mergeCell ref="B22:E22"/>
    <mergeCell ref="B23:E23"/>
    <mergeCell ref="B19:E19"/>
    <mergeCell ref="B3:E3"/>
    <mergeCell ref="B5:E5"/>
    <mergeCell ref="B17:E17"/>
    <mergeCell ref="B21:E21"/>
    <mergeCell ref="B20:E20"/>
    <mergeCell ref="B12:E13"/>
  </mergeCells>
  <hyperlinks>
    <hyperlink ref="B14" location="'Image Req'!A1" display="'Image Req'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A71"/>
  <sheetViews>
    <sheetView topLeftCell="A28" zoomScaleNormal="100" workbookViewId="0">
      <selection activeCell="I45" sqref="I45"/>
    </sheetView>
  </sheetViews>
  <sheetFormatPr defaultRowHeight="15" x14ac:dyDescent="0.25"/>
  <cols>
    <col min="3" max="12" width="9.7109375" customWidth="1"/>
    <col min="16" max="25" width="9.5703125" customWidth="1"/>
  </cols>
  <sheetData>
    <row r="2" spans="2:27" ht="17.45" x14ac:dyDescent="0.3">
      <c r="C2" s="132" t="s">
        <v>110</v>
      </c>
      <c r="D2" s="132"/>
      <c r="E2" s="132"/>
      <c r="F2" s="132"/>
      <c r="G2" s="132"/>
      <c r="H2" s="132"/>
      <c r="I2" s="132"/>
      <c r="J2" s="132"/>
      <c r="K2" s="132"/>
      <c r="L2" s="132"/>
    </row>
    <row r="3" spans="2:27" ht="55.5" customHeight="1" x14ac:dyDescent="0.3">
      <c r="C3" s="174" t="s">
        <v>114</v>
      </c>
      <c r="D3" s="174"/>
      <c r="E3" s="174"/>
      <c r="F3" s="174"/>
      <c r="G3" s="174"/>
      <c r="H3" s="174"/>
      <c r="I3" s="174"/>
      <c r="J3" s="174"/>
      <c r="K3" s="174"/>
      <c r="L3" s="174"/>
      <c r="M3" s="1"/>
      <c r="N3" s="1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2:27" s="1" customFormat="1" ht="15.6" x14ac:dyDescent="0.3">
      <c r="C4" s="175" t="s">
        <v>111</v>
      </c>
      <c r="D4" s="175"/>
      <c r="E4" s="175"/>
      <c r="F4" s="175"/>
      <c r="G4" s="175"/>
      <c r="H4" s="175"/>
      <c r="I4" s="175"/>
      <c r="J4" s="175"/>
      <c r="K4" s="175"/>
      <c r="L4" s="175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2:27" ht="18" x14ac:dyDescent="0.25">
      <c r="B5" s="62"/>
      <c r="C5" s="158" t="s">
        <v>44</v>
      </c>
      <c r="D5" s="158"/>
      <c r="E5" s="158"/>
      <c r="F5" s="158"/>
      <c r="G5" s="158"/>
      <c r="H5" s="158"/>
      <c r="I5" s="158"/>
      <c r="J5" s="158"/>
      <c r="K5" s="158"/>
      <c r="L5" s="158"/>
      <c r="M5" s="63"/>
      <c r="O5" s="62"/>
      <c r="P5" s="158" t="s">
        <v>109</v>
      </c>
      <c r="Q5" s="158"/>
      <c r="R5" s="158"/>
      <c r="S5" s="158"/>
      <c r="T5" s="158"/>
      <c r="U5" s="158"/>
      <c r="V5" s="158"/>
      <c r="W5" s="158"/>
      <c r="X5" s="158"/>
      <c r="Y5" s="158"/>
      <c r="Z5" s="158"/>
      <c r="AA5" s="63"/>
    </row>
    <row r="6" spans="2:27" ht="15" customHeight="1" x14ac:dyDescent="0.25">
      <c r="B6" s="64"/>
      <c r="C6" s="138" t="s">
        <v>45</v>
      </c>
      <c r="D6" s="138"/>
      <c r="E6" s="138"/>
      <c r="F6" s="138"/>
      <c r="G6" s="138"/>
      <c r="H6" s="138"/>
      <c r="I6" s="138"/>
      <c r="J6" s="138"/>
      <c r="K6" s="138"/>
      <c r="L6" s="138"/>
      <c r="M6" s="65"/>
      <c r="O6" s="64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65"/>
    </row>
    <row r="7" spans="2:27" ht="15" customHeight="1" x14ac:dyDescent="0.25">
      <c r="B7" s="64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65"/>
      <c r="O7" s="64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65"/>
    </row>
    <row r="8" spans="2:27" ht="15" customHeight="1" x14ac:dyDescent="0.25">
      <c r="B8" s="64"/>
      <c r="C8" s="157" t="s">
        <v>46</v>
      </c>
      <c r="D8" s="157"/>
      <c r="E8" s="157"/>
      <c r="F8" s="157"/>
      <c r="G8" s="157"/>
      <c r="H8" s="157"/>
      <c r="I8" s="157"/>
      <c r="J8" s="157"/>
      <c r="K8" s="157"/>
      <c r="L8" s="157"/>
      <c r="M8" s="65"/>
      <c r="O8" s="64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65"/>
    </row>
    <row r="9" spans="2:27" ht="15" customHeight="1" x14ac:dyDescent="0.25">
      <c r="B9" s="64"/>
      <c r="C9" s="157" t="s">
        <v>47</v>
      </c>
      <c r="D9" s="157"/>
      <c r="E9" s="157"/>
      <c r="F9" s="157"/>
      <c r="G9" s="157"/>
      <c r="H9" s="157"/>
      <c r="I9" s="157"/>
      <c r="J9" s="157"/>
      <c r="K9" s="157"/>
      <c r="L9" s="157"/>
      <c r="M9" s="65"/>
      <c r="O9" s="64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65"/>
    </row>
    <row r="10" spans="2:27" ht="15" customHeight="1" x14ac:dyDescent="0.25">
      <c r="B10" s="64"/>
      <c r="C10" s="157" t="s">
        <v>48</v>
      </c>
      <c r="D10" s="157"/>
      <c r="E10" s="157"/>
      <c r="F10" s="157"/>
      <c r="G10" s="157"/>
      <c r="H10" s="157"/>
      <c r="I10" s="157"/>
      <c r="J10" s="157"/>
      <c r="K10" s="157"/>
      <c r="L10" s="157"/>
      <c r="M10" s="65"/>
      <c r="O10" s="64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65"/>
    </row>
    <row r="11" spans="2:27" ht="15" customHeight="1" x14ac:dyDescent="0.25">
      <c r="B11" s="64"/>
      <c r="C11" s="157" t="s">
        <v>49</v>
      </c>
      <c r="D11" s="157"/>
      <c r="E11" s="157"/>
      <c r="F11" s="157"/>
      <c r="G11" s="157"/>
      <c r="H11" s="157"/>
      <c r="I11" s="157"/>
      <c r="J11" s="157"/>
      <c r="K11" s="157"/>
      <c r="L11" s="157"/>
      <c r="M11" s="65"/>
      <c r="O11" s="64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65"/>
    </row>
    <row r="12" spans="2:27" ht="15.75" customHeight="1" x14ac:dyDescent="0.25">
      <c r="B12" s="64"/>
      <c r="C12" s="157" t="s">
        <v>50</v>
      </c>
      <c r="D12" s="157"/>
      <c r="E12" s="157"/>
      <c r="F12" s="157"/>
      <c r="G12" s="157"/>
      <c r="H12" s="157"/>
      <c r="I12" s="157"/>
      <c r="J12" s="157"/>
      <c r="K12" s="157"/>
      <c r="L12" s="157"/>
      <c r="M12" s="65"/>
      <c r="O12" s="64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65"/>
    </row>
    <row r="13" spans="2:27" x14ac:dyDescent="0.25">
      <c r="B13" s="64"/>
      <c r="C13" s="157" t="s">
        <v>51</v>
      </c>
      <c r="D13" s="157"/>
      <c r="E13" s="157"/>
      <c r="F13" s="157"/>
      <c r="G13" s="157"/>
      <c r="H13" s="157"/>
      <c r="I13" s="157"/>
      <c r="J13" s="157"/>
      <c r="K13" s="157"/>
      <c r="L13" s="157"/>
      <c r="M13" s="65"/>
      <c r="O13" s="64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65"/>
    </row>
    <row r="14" spans="2:27" x14ac:dyDescent="0.25">
      <c r="B14" s="64"/>
      <c r="C14" s="157" t="s">
        <v>52</v>
      </c>
      <c r="D14" s="157"/>
      <c r="E14" s="157"/>
      <c r="F14" s="157"/>
      <c r="G14" s="157"/>
      <c r="H14" s="157"/>
      <c r="I14" s="157"/>
      <c r="J14" s="157"/>
      <c r="K14" s="157"/>
      <c r="L14" s="157"/>
      <c r="M14" s="65"/>
      <c r="O14" s="64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65"/>
    </row>
    <row r="15" spans="2:27" x14ac:dyDescent="0.25">
      <c r="B15" s="64"/>
      <c r="C15" s="157" t="s">
        <v>53</v>
      </c>
      <c r="D15" s="157"/>
      <c r="E15" s="157"/>
      <c r="F15" s="157"/>
      <c r="G15" s="157"/>
      <c r="H15" s="157"/>
      <c r="I15" s="157"/>
      <c r="J15" s="157"/>
      <c r="K15" s="157"/>
      <c r="L15" s="157"/>
      <c r="M15" s="65"/>
      <c r="O15" s="64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65"/>
    </row>
    <row r="16" spans="2:27" x14ac:dyDescent="0.25">
      <c r="B16" s="64"/>
      <c r="C16" s="138" t="s">
        <v>54</v>
      </c>
      <c r="D16" s="138"/>
      <c r="E16" s="138"/>
      <c r="F16" s="138"/>
      <c r="G16" s="138"/>
      <c r="H16" s="138"/>
      <c r="I16" s="138"/>
      <c r="J16" s="138"/>
      <c r="K16" s="138"/>
      <c r="L16" s="138"/>
      <c r="M16" s="65"/>
      <c r="O16" s="64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65"/>
    </row>
    <row r="17" spans="2:27" x14ac:dyDescent="0.25">
      <c r="B17" s="64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65"/>
      <c r="O17" s="64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65"/>
    </row>
    <row r="18" spans="2:27" x14ac:dyDescent="0.25">
      <c r="B18" s="64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65"/>
      <c r="O18" s="64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65"/>
    </row>
    <row r="19" spans="2:27" ht="15" customHeight="1" x14ac:dyDescent="0.25">
      <c r="B19" s="64"/>
      <c r="C19" s="138" t="s">
        <v>55</v>
      </c>
      <c r="D19" s="138"/>
      <c r="E19" s="138"/>
      <c r="F19" s="138"/>
      <c r="G19" s="138"/>
      <c r="H19" s="138"/>
      <c r="I19" s="138"/>
      <c r="J19" s="138"/>
      <c r="K19" s="138"/>
      <c r="L19" s="138"/>
      <c r="M19" s="65"/>
      <c r="O19" s="64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65"/>
    </row>
    <row r="20" spans="2:27" ht="15.75" thickBot="1" x14ac:dyDescent="0.3">
      <c r="B20" s="64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65"/>
      <c r="O20" s="64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65"/>
    </row>
    <row r="21" spans="2:27" ht="14.45" x14ac:dyDescent="0.3">
      <c r="B21" s="64"/>
      <c r="C21" s="159" t="s">
        <v>56</v>
      </c>
      <c r="D21" s="160"/>
      <c r="E21" s="160"/>
      <c r="F21" s="160"/>
      <c r="G21" s="160" t="s">
        <v>57</v>
      </c>
      <c r="H21" s="160"/>
      <c r="I21" s="160"/>
      <c r="J21" s="160"/>
      <c r="K21" s="160"/>
      <c r="L21" s="173"/>
      <c r="M21" s="65"/>
      <c r="O21" s="64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65"/>
    </row>
    <row r="22" spans="2:27" ht="15.75" customHeight="1" x14ac:dyDescent="0.3">
      <c r="B22" s="64"/>
      <c r="C22" s="161" t="s">
        <v>58</v>
      </c>
      <c r="D22" s="162"/>
      <c r="E22" s="162"/>
      <c r="F22" s="162"/>
      <c r="G22" s="150" t="s">
        <v>59</v>
      </c>
      <c r="H22" s="150"/>
      <c r="I22" s="150"/>
      <c r="J22" s="150"/>
      <c r="K22" s="150"/>
      <c r="L22" s="151"/>
      <c r="M22" s="65"/>
      <c r="O22" s="64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65"/>
    </row>
    <row r="23" spans="2:27" ht="14.45" x14ac:dyDescent="0.3">
      <c r="B23" s="64"/>
      <c r="C23" s="161" t="s">
        <v>60</v>
      </c>
      <c r="D23" s="162"/>
      <c r="E23" s="162"/>
      <c r="F23" s="162"/>
      <c r="G23" s="150" t="s">
        <v>61</v>
      </c>
      <c r="H23" s="150"/>
      <c r="I23" s="150"/>
      <c r="J23" s="150"/>
      <c r="K23" s="150"/>
      <c r="L23" s="151"/>
      <c r="M23" s="65"/>
      <c r="O23" s="64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65"/>
    </row>
    <row r="24" spans="2:27" ht="14.45" x14ac:dyDescent="0.3">
      <c r="B24" s="64"/>
      <c r="C24" s="161" t="s">
        <v>62</v>
      </c>
      <c r="D24" s="162"/>
      <c r="E24" s="162"/>
      <c r="F24" s="162"/>
      <c r="G24" s="150" t="s">
        <v>63</v>
      </c>
      <c r="H24" s="150"/>
      <c r="I24" s="150"/>
      <c r="J24" s="150"/>
      <c r="K24" s="150"/>
      <c r="L24" s="151"/>
      <c r="M24" s="65"/>
      <c r="O24" s="64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65"/>
    </row>
    <row r="25" spans="2:27" x14ac:dyDescent="0.25">
      <c r="B25" s="64"/>
      <c r="C25" s="161" t="s">
        <v>64</v>
      </c>
      <c r="D25" s="162"/>
      <c r="E25" s="162"/>
      <c r="F25" s="162"/>
      <c r="G25" s="150" t="s">
        <v>65</v>
      </c>
      <c r="H25" s="150"/>
      <c r="I25" s="150"/>
      <c r="J25" s="150"/>
      <c r="K25" s="150"/>
      <c r="L25" s="151"/>
      <c r="M25" s="65"/>
      <c r="O25" s="64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65"/>
    </row>
    <row r="26" spans="2:27" x14ac:dyDescent="0.25">
      <c r="B26" s="64"/>
      <c r="C26" s="161"/>
      <c r="D26" s="162"/>
      <c r="E26" s="162"/>
      <c r="F26" s="162"/>
      <c r="G26" s="150" t="s">
        <v>66</v>
      </c>
      <c r="H26" s="150"/>
      <c r="I26" s="150"/>
      <c r="J26" s="150"/>
      <c r="K26" s="150"/>
      <c r="L26" s="151"/>
      <c r="M26" s="65"/>
      <c r="O26" s="64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65"/>
    </row>
    <row r="27" spans="2:27" x14ac:dyDescent="0.25">
      <c r="B27" s="64"/>
      <c r="C27" s="161" t="s">
        <v>67</v>
      </c>
      <c r="D27" s="162"/>
      <c r="E27" s="162"/>
      <c r="F27" s="162"/>
      <c r="G27" s="163" t="s">
        <v>68</v>
      </c>
      <c r="H27" s="163"/>
      <c r="I27" s="163"/>
      <c r="J27" s="163"/>
      <c r="K27" s="163"/>
      <c r="L27" s="164"/>
      <c r="M27" s="65"/>
      <c r="O27" s="64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65"/>
    </row>
    <row r="28" spans="2:27" ht="14.45" x14ac:dyDescent="0.3">
      <c r="B28" s="64"/>
      <c r="C28" s="161" t="s">
        <v>69</v>
      </c>
      <c r="D28" s="162"/>
      <c r="E28" s="162"/>
      <c r="F28" s="162"/>
      <c r="G28" s="163" t="s">
        <v>70</v>
      </c>
      <c r="H28" s="163"/>
      <c r="I28" s="163"/>
      <c r="J28" s="163"/>
      <c r="K28" s="163"/>
      <c r="L28" s="164"/>
      <c r="M28" s="65"/>
      <c r="O28" s="64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65"/>
    </row>
    <row r="29" spans="2:27" ht="14.45" x14ac:dyDescent="0.3">
      <c r="B29" s="64"/>
      <c r="C29" s="148" t="s">
        <v>71</v>
      </c>
      <c r="D29" s="149"/>
      <c r="E29" s="149"/>
      <c r="F29" s="149"/>
      <c r="G29" s="163" t="s">
        <v>112</v>
      </c>
      <c r="H29" s="163"/>
      <c r="I29" s="163"/>
      <c r="J29" s="163"/>
      <c r="K29" s="163"/>
      <c r="L29" s="164"/>
      <c r="M29" s="65"/>
      <c r="O29" s="64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65"/>
    </row>
    <row r="30" spans="2:27" x14ac:dyDescent="0.25">
      <c r="B30" s="64"/>
      <c r="C30" s="148" t="s">
        <v>72</v>
      </c>
      <c r="D30" s="149"/>
      <c r="E30" s="149"/>
      <c r="F30" s="149"/>
      <c r="G30" s="163" t="s">
        <v>73</v>
      </c>
      <c r="H30" s="163"/>
      <c r="I30" s="163"/>
      <c r="J30" s="163"/>
      <c r="K30" s="163"/>
      <c r="L30" s="164"/>
      <c r="M30" s="65"/>
      <c r="O30" s="64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65"/>
    </row>
    <row r="31" spans="2:27" s="1" customFormat="1" x14ac:dyDescent="0.25">
      <c r="B31" s="64"/>
      <c r="C31" s="148"/>
      <c r="D31" s="149"/>
      <c r="E31" s="149"/>
      <c r="F31" s="149"/>
      <c r="G31" s="140" t="s">
        <v>138</v>
      </c>
      <c r="H31" s="141"/>
      <c r="I31" s="141"/>
      <c r="J31" s="141"/>
      <c r="K31" s="141"/>
      <c r="L31" s="142"/>
      <c r="M31" s="65"/>
      <c r="O31" s="64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65"/>
    </row>
    <row r="32" spans="2:27" x14ac:dyDescent="0.25">
      <c r="B32" s="64"/>
      <c r="C32" s="148"/>
      <c r="D32" s="149"/>
      <c r="E32" s="149"/>
      <c r="F32" s="149"/>
      <c r="G32" s="143"/>
      <c r="H32" s="144"/>
      <c r="I32" s="144"/>
      <c r="J32" s="144"/>
      <c r="K32" s="144"/>
      <c r="L32" s="145"/>
      <c r="M32" s="65"/>
      <c r="O32" s="64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65"/>
    </row>
    <row r="33" spans="2:27" ht="14.45" x14ac:dyDescent="0.3">
      <c r="B33" s="64"/>
      <c r="C33" s="148" t="s">
        <v>74</v>
      </c>
      <c r="D33" s="149"/>
      <c r="E33" s="149"/>
      <c r="F33" s="149"/>
      <c r="G33" s="150" t="s">
        <v>75</v>
      </c>
      <c r="H33" s="150"/>
      <c r="I33" s="150"/>
      <c r="J33" s="150"/>
      <c r="K33" s="150"/>
      <c r="L33" s="151"/>
      <c r="M33" s="65"/>
      <c r="O33" s="64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65"/>
    </row>
    <row r="34" spans="2:27" thickBot="1" x14ac:dyDescent="0.35">
      <c r="B34" s="64"/>
      <c r="C34" s="146" t="s">
        <v>76</v>
      </c>
      <c r="D34" s="147"/>
      <c r="E34" s="147"/>
      <c r="F34" s="147"/>
      <c r="G34" s="152" t="s">
        <v>139</v>
      </c>
      <c r="H34" s="152"/>
      <c r="I34" s="152"/>
      <c r="J34" s="152"/>
      <c r="K34" s="152"/>
      <c r="L34" s="153"/>
      <c r="M34" s="65"/>
      <c r="O34" s="6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65"/>
    </row>
    <row r="35" spans="2:27" ht="15.6" x14ac:dyDescent="0.3">
      <c r="B35" s="64"/>
      <c r="C35" s="3"/>
      <c r="D35" s="3"/>
      <c r="E35" s="3"/>
      <c r="F35" s="3"/>
      <c r="G35" s="168" t="s">
        <v>113</v>
      </c>
      <c r="H35" s="168"/>
      <c r="I35" s="168"/>
      <c r="J35" s="168"/>
      <c r="K35" s="168"/>
      <c r="L35" s="168"/>
      <c r="M35" s="65"/>
      <c r="O35" s="64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65"/>
    </row>
    <row r="36" spans="2:27" ht="15" customHeight="1" x14ac:dyDescent="0.25">
      <c r="B36" s="64"/>
      <c r="C36" s="139" t="s">
        <v>77</v>
      </c>
      <c r="D36" s="139"/>
      <c r="E36" s="139"/>
      <c r="F36" s="139"/>
      <c r="G36" s="139"/>
      <c r="H36" s="139"/>
      <c r="I36" s="139"/>
      <c r="J36" s="139"/>
      <c r="K36" s="139"/>
      <c r="L36" s="139"/>
      <c r="M36" s="65"/>
      <c r="O36" s="64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65"/>
    </row>
    <row r="37" spans="2:27" ht="15" customHeight="1" x14ac:dyDescent="0.25">
      <c r="B37" s="64"/>
      <c r="C37" s="138" t="s">
        <v>78</v>
      </c>
      <c r="D37" s="138"/>
      <c r="E37" s="138"/>
      <c r="F37" s="138"/>
      <c r="G37" s="138"/>
      <c r="H37" s="138"/>
      <c r="I37" s="138"/>
      <c r="J37" s="138"/>
      <c r="K37" s="138"/>
      <c r="L37" s="138"/>
      <c r="M37" s="65"/>
      <c r="O37" s="64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65"/>
    </row>
    <row r="38" spans="2:27" x14ac:dyDescent="0.25">
      <c r="B38" s="64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65"/>
      <c r="O38" s="64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65"/>
    </row>
    <row r="39" spans="2:27" thickBot="1" x14ac:dyDescent="0.35">
      <c r="B39" s="64"/>
      <c r="C39" s="137" t="s">
        <v>56</v>
      </c>
      <c r="D39" s="135"/>
      <c r="E39" s="135"/>
      <c r="F39" s="135"/>
      <c r="G39" s="135" t="s">
        <v>79</v>
      </c>
      <c r="H39" s="135"/>
      <c r="I39" s="135"/>
      <c r="J39" s="135"/>
      <c r="K39" s="135"/>
      <c r="L39" s="136"/>
      <c r="M39" s="65"/>
      <c r="O39" s="64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65"/>
    </row>
    <row r="40" spans="2:27" ht="14.45" x14ac:dyDescent="0.3">
      <c r="B40" s="64"/>
      <c r="C40" s="156" t="s">
        <v>80</v>
      </c>
      <c r="D40" s="133"/>
      <c r="E40" s="133"/>
      <c r="F40" s="133"/>
      <c r="G40" s="133" t="s">
        <v>81</v>
      </c>
      <c r="H40" s="133"/>
      <c r="I40" s="133"/>
      <c r="J40" s="133"/>
      <c r="K40" s="133"/>
      <c r="L40" s="134"/>
      <c r="M40" s="65"/>
      <c r="O40" s="64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65"/>
    </row>
    <row r="41" spans="2:27" ht="14.45" x14ac:dyDescent="0.3">
      <c r="B41" s="64"/>
      <c r="C41" s="154" t="s">
        <v>82</v>
      </c>
      <c r="D41" s="155"/>
      <c r="E41" s="155"/>
      <c r="F41" s="155"/>
      <c r="G41" s="155" t="s">
        <v>83</v>
      </c>
      <c r="H41" s="155"/>
      <c r="I41" s="155"/>
      <c r="J41" s="155"/>
      <c r="K41" s="155"/>
      <c r="L41" s="172"/>
      <c r="M41" s="65"/>
      <c r="O41" s="64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65"/>
    </row>
    <row r="42" spans="2:27" ht="14.45" x14ac:dyDescent="0.3">
      <c r="B42" s="64"/>
      <c r="C42" s="154" t="s">
        <v>84</v>
      </c>
      <c r="D42" s="155"/>
      <c r="E42" s="155"/>
      <c r="F42" s="155"/>
      <c r="G42" s="155" t="s">
        <v>85</v>
      </c>
      <c r="H42" s="155"/>
      <c r="I42" s="155"/>
      <c r="J42" s="155"/>
      <c r="K42" s="155"/>
      <c r="L42" s="172"/>
      <c r="M42" s="65"/>
      <c r="O42" s="64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65"/>
    </row>
    <row r="43" spans="2:27" thickBot="1" x14ac:dyDescent="0.35">
      <c r="B43" s="64"/>
      <c r="C43" s="165" t="s">
        <v>86</v>
      </c>
      <c r="D43" s="166"/>
      <c r="E43" s="166"/>
      <c r="F43" s="166"/>
      <c r="G43" s="170" t="s">
        <v>87</v>
      </c>
      <c r="H43" s="170"/>
      <c r="I43" s="170"/>
      <c r="J43" s="170"/>
      <c r="K43" s="170"/>
      <c r="L43" s="171"/>
      <c r="M43" s="65"/>
      <c r="O43" s="64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65"/>
    </row>
    <row r="44" spans="2:27" ht="14.45" x14ac:dyDescent="0.3">
      <c r="B44" s="64"/>
      <c r="C44" s="3"/>
      <c r="D44" s="3"/>
      <c r="E44" s="3"/>
      <c r="F44" s="3"/>
      <c r="G44" s="3"/>
      <c r="H44" s="3"/>
      <c r="I44" s="3"/>
      <c r="J44" s="3"/>
      <c r="K44" s="3"/>
      <c r="L44" s="3"/>
      <c r="M44" s="65"/>
      <c r="O44" s="6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65"/>
    </row>
    <row r="45" spans="2:27" x14ac:dyDescent="0.25">
      <c r="B45" s="64"/>
      <c r="C45" s="69" t="s">
        <v>88</v>
      </c>
      <c r="D45" s="3"/>
      <c r="E45" s="3"/>
      <c r="F45" s="3"/>
      <c r="G45" s="3"/>
      <c r="H45" s="3"/>
      <c r="I45" s="3"/>
      <c r="J45" s="3"/>
      <c r="K45" s="3"/>
      <c r="L45" s="3"/>
      <c r="M45" s="65"/>
      <c r="O45" s="64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65"/>
    </row>
    <row r="46" spans="2:27" ht="14.45" x14ac:dyDescent="0.3">
      <c r="B46" s="64"/>
      <c r="C46" s="70" t="s">
        <v>89</v>
      </c>
      <c r="D46" s="71"/>
      <c r="E46" s="3"/>
      <c r="F46" s="3"/>
      <c r="G46" s="3"/>
      <c r="H46" s="3"/>
      <c r="I46" s="3"/>
      <c r="J46" s="3"/>
      <c r="K46" s="3"/>
      <c r="L46" s="3"/>
      <c r="M46" s="65"/>
      <c r="O46" s="64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65"/>
    </row>
    <row r="47" spans="2:27" x14ac:dyDescent="0.25">
      <c r="B47" s="64"/>
      <c r="C47" s="167" t="s">
        <v>90</v>
      </c>
      <c r="D47" s="167"/>
      <c r="E47" s="167"/>
      <c r="F47" s="167"/>
      <c r="G47" s="167"/>
      <c r="H47" s="167"/>
      <c r="I47" s="167"/>
      <c r="J47" s="167"/>
      <c r="K47" s="167"/>
      <c r="L47" s="167"/>
      <c r="M47" s="65"/>
      <c r="O47" s="64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65"/>
    </row>
    <row r="48" spans="2:27" x14ac:dyDescent="0.25">
      <c r="B48" s="64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65"/>
      <c r="O48" s="64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65"/>
    </row>
    <row r="49" spans="2:27" x14ac:dyDescent="0.25">
      <c r="B49" s="64"/>
      <c r="C49" s="157" t="s">
        <v>91</v>
      </c>
      <c r="D49" s="157"/>
      <c r="E49" s="157"/>
      <c r="F49" s="157"/>
      <c r="G49" s="157"/>
      <c r="H49" s="157"/>
      <c r="I49" s="157"/>
      <c r="J49" s="157"/>
      <c r="K49" s="157"/>
      <c r="L49" s="157"/>
      <c r="M49" s="65"/>
      <c r="O49" s="64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65"/>
    </row>
    <row r="50" spans="2:27" x14ac:dyDescent="0.25">
      <c r="B50" s="64"/>
      <c r="C50" s="157" t="s">
        <v>92</v>
      </c>
      <c r="D50" s="157"/>
      <c r="E50" s="157"/>
      <c r="F50" s="157"/>
      <c r="G50" s="157"/>
      <c r="H50" s="157"/>
      <c r="I50" s="157"/>
      <c r="J50" s="157"/>
      <c r="K50" s="157"/>
      <c r="L50" s="157"/>
      <c r="M50" s="65"/>
      <c r="O50" s="64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65"/>
    </row>
    <row r="51" spans="2:27" x14ac:dyDescent="0.25">
      <c r="B51" s="64"/>
      <c r="C51" s="157" t="s">
        <v>93</v>
      </c>
      <c r="D51" s="157"/>
      <c r="E51" s="157"/>
      <c r="F51" s="157"/>
      <c r="G51" s="157"/>
      <c r="H51" s="157"/>
      <c r="I51" s="157"/>
      <c r="J51" s="157"/>
      <c r="K51" s="157"/>
      <c r="L51" s="157"/>
      <c r="M51" s="65"/>
      <c r="O51" s="64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65"/>
    </row>
    <row r="52" spans="2:27" x14ac:dyDescent="0.25">
      <c r="B52" s="64"/>
      <c r="C52" s="157" t="s">
        <v>94</v>
      </c>
      <c r="D52" s="157"/>
      <c r="E52" s="157"/>
      <c r="F52" s="157"/>
      <c r="G52" s="157"/>
      <c r="H52" s="157"/>
      <c r="I52" s="157"/>
      <c r="J52" s="157"/>
      <c r="K52" s="157"/>
      <c r="L52" s="157"/>
      <c r="M52" s="65"/>
      <c r="O52" s="64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65"/>
    </row>
    <row r="53" spans="2:27" x14ac:dyDescent="0.25">
      <c r="B53" s="64"/>
      <c r="C53" s="157" t="s">
        <v>95</v>
      </c>
      <c r="D53" s="157"/>
      <c r="E53" s="157"/>
      <c r="F53" s="157"/>
      <c r="G53" s="157"/>
      <c r="H53" s="157"/>
      <c r="I53" s="157"/>
      <c r="J53" s="157"/>
      <c r="K53" s="157"/>
      <c r="L53" s="157"/>
      <c r="M53" s="65"/>
      <c r="O53" s="64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65"/>
    </row>
    <row r="54" spans="2:27" x14ac:dyDescent="0.25">
      <c r="B54" s="64"/>
      <c r="C54" s="157" t="s">
        <v>96</v>
      </c>
      <c r="D54" s="157"/>
      <c r="E54" s="157"/>
      <c r="F54" s="157"/>
      <c r="G54" s="157"/>
      <c r="H54" s="157"/>
      <c r="I54" s="157"/>
      <c r="J54" s="157"/>
      <c r="K54" s="157"/>
      <c r="L54" s="157"/>
      <c r="M54" s="65"/>
      <c r="O54" s="6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65"/>
    </row>
    <row r="55" spans="2:27" x14ac:dyDescent="0.25">
      <c r="B55" s="64"/>
      <c r="C55" s="157" t="s">
        <v>97</v>
      </c>
      <c r="D55" s="157"/>
      <c r="E55" s="157"/>
      <c r="F55" s="157"/>
      <c r="G55" s="157"/>
      <c r="H55" s="157"/>
      <c r="I55" s="157"/>
      <c r="J55" s="157"/>
      <c r="K55" s="157"/>
      <c r="L55" s="157"/>
      <c r="M55" s="65"/>
      <c r="O55" s="64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65"/>
    </row>
    <row r="56" spans="2:27" x14ac:dyDescent="0.25">
      <c r="B56" s="64"/>
      <c r="C56" s="169" t="s">
        <v>98</v>
      </c>
      <c r="D56" s="169"/>
      <c r="E56" s="169"/>
      <c r="F56" s="169"/>
      <c r="G56" s="169"/>
      <c r="H56" s="169"/>
      <c r="I56" s="169"/>
      <c r="J56" s="169"/>
      <c r="K56" s="169"/>
      <c r="L56" s="169"/>
      <c r="M56" s="65"/>
      <c r="O56" s="64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65"/>
    </row>
    <row r="57" spans="2:27" x14ac:dyDescent="0.25">
      <c r="B57" s="64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65"/>
      <c r="O57" s="64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65"/>
    </row>
    <row r="58" spans="2:27" x14ac:dyDescent="0.25">
      <c r="B58" s="64"/>
      <c r="C58" s="157" t="s">
        <v>99</v>
      </c>
      <c r="D58" s="157"/>
      <c r="E58" s="157"/>
      <c r="F58" s="157"/>
      <c r="G58" s="157"/>
      <c r="H58" s="157"/>
      <c r="I58" s="157"/>
      <c r="J58" s="157"/>
      <c r="K58" s="157"/>
      <c r="L58" s="157"/>
      <c r="M58" s="65"/>
      <c r="O58" s="64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65"/>
    </row>
    <row r="59" spans="2:27" x14ac:dyDescent="0.25">
      <c r="B59" s="64"/>
      <c r="C59" s="169" t="s">
        <v>100</v>
      </c>
      <c r="D59" s="169"/>
      <c r="E59" s="169"/>
      <c r="F59" s="169"/>
      <c r="G59" s="169"/>
      <c r="H59" s="169"/>
      <c r="I59" s="169"/>
      <c r="J59" s="169"/>
      <c r="K59" s="169"/>
      <c r="L59" s="169"/>
      <c r="M59" s="65"/>
      <c r="O59" s="64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65"/>
    </row>
    <row r="60" spans="2:27" x14ac:dyDescent="0.25">
      <c r="B60" s="64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65"/>
      <c r="O60" s="64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65"/>
    </row>
    <row r="61" spans="2:27" x14ac:dyDescent="0.25">
      <c r="B61" s="64"/>
      <c r="C61" s="169" t="s">
        <v>101</v>
      </c>
      <c r="D61" s="169"/>
      <c r="E61" s="169"/>
      <c r="F61" s="169"/>
      <c r="G61" s="169"/>
      <c r="H61" s="169"/>
      <c r="I61" s="169"/>
      <c r="J61" s="169"/>
      <c r="K61" s="169"/>
      <c r="L61" s="169"/>
      <c r="M61" s="65"/>
      <c r="O61" s="64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65"/>
    </row>
    <row r="62" spans="2:27" x14ac:dyDescent="0.25">
      <c r="B62" s="64"/>
      <c r="C62" s="169"/>
      <c r="D62" s="169"/>
      <c r="E62" s="169"/>
      <c r="F62" s="169"/>
      <c r="G62" s="169"/>
      <c r="H62" s="169"/>
      <c r="I62" s="169"/>
      <c r="J62" s="169"/>
      <c r="K62" s="169"/>
      <c r="L62" s="169"/>
      <c r="M62" s="65"/>
      <c r="O62" s="64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65"/>
    </row>
    <row r="63" spans="2:27" x14ac:dyDescent="0.25">
      <c r="B63" s="64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65"/>
      <c r="O63" s="64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65"/>
    </row>
    <row r="64" spans="2:27" x14ac:dyDescent="0.25">
      <c r="B64" s="64"/>
      <c r="C64" s="70" t="s">
        <v>102</v>
      </c>
      <c r="D64" s="71"/>
      <c r="E64" s="3"/>
      <c r="F64" s="3"/>
      <c r="G64" s="3"/>
      <c r="H64" s="3"/>
      <c r="I64" s="3"/>
      <c r="J64" s="3"/>
      <c r="K64" s="3"/>
      <c r="L64" s="3"/>
      <c r="M64" s="65"/>
      <c r="O64" s="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65"/>
    </row>
    <row r="65" spans="2:27" x14ac:dyDescent="0.25">
      <c r="B65" s="64"/>
      <c r="C65" s="73" t="s">
        <v>103</v>
      </c>
      <c r="D65" s="71"/>
      <c r="E65" s="3"/>
      <c r="F65" s="3"/>
      <c r="G65" s="3"/>
      <c r="H65" s="3"/>
      <c r="I65" s="3"/>
      <c r="J65" s="3"/>
      <c r="K65" s="3"/>
      <c r="L65" s="3"/>
      <c r="M65" s="65"/>
      <c r="O65" s="64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65"/>
    </row>
    <row r="66" spans="2:27" x14ac:dyDescent="0.25">
      <c r="B66" s="64"/>
      <c r="C66" s="73" t="s">
        <v>104</v>
      </c>
      <c r="D66" s="71"/>
      <c r="E66" s="3"/>
      <c r="F66" s="3"/>
      <c r="G66" s="3"/>
      <c r="H66" s="3"/>
      <c r="I66" s="3"/>
      <c r="J66" s="3"/>
      <c r="K66" s="3"/>
      <c r="L66" s="3"/>
      <c r="M66" s="65"/>
      <c r="O66" s="64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65"/>
    </row>
    <row r="67" spans="2:27" x14ac:dyDescent="0.25">
      <c r="B67" s="64"/>
      <c r="C67" s="73" t="s">
        <v>105</v>
      </c>
      <c r="D67" s="71"/>
      <c r="E67" s="3"/>
      <c r="F67" s="3"/>
      <c r="G67" s="3"/>
      <c r="H67" s="3"/>
      <c r="I67" s="3"/>
      <c r="J67" s="3"/>
      <c r="K67" s="3"/>
      <c r="L67" s="3"/>
      <c r="M67" s="65"/>
      <c r="O67" s="64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65"/>
    </row>
    <row r="68" spans="2:27" x14ac:dyDescent="0.25">
      <c r="B68" s="64"/>
      <c r="C68" s="167" t="s">
        <v>106</v>
      </c>
      <c r="D68" s="167"/>
      <c r="E68" s="167"/>
      <c r="F68" s="167"/>
      <c r="G68" s="167"/>
      <c r="H68" s="167"/>
      <c r="I68" s="167"/>
      <c r="J68" s="167"/>
      <c r="K68" s="167"/>
      <c r="L68" s="167"/>
      <c r="M68" s="65"/>
      <c r="O68" s="64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65"/>
    </row>
    <row r="69" spans="2:27" x14ac:dyDescent="0.25">
      <c r="B69" s="64"/>
      <c r="C69" s="167"/>
      <c r="D69" s="167"/>
      <c r="E69" s="167"/>
      <c r="F69" s="167"/>
      <c r="G69" s="167"/>
      <c r="H69" s="167"/>
      <c r="I69" s="167"/>
      <c r="J69" s="167"/>
      <c r="K69" s="167"/>
      <c r="L69" s="167"/>
      <c r="M69" s="65"/>
      <c r="O69" s="64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65"/>
    </row>
    <row r="70" spans="2:27" x14ac:dyDescent="0.25">
      <c r="B70" s="64"/>
      <c r="C70" s="73" t="s">
        <v>107</v>
      </c>
      <c r="D70" s="71"/>
      <c r="E70" s="3"/>
      <c r="F70" s="3"/>
      <c r="G70" s="3"/>
      <c r="H70" s="3"/>
      <c r="I70" s="3"/>
      <c r="J70" s="3"/>
      <c r="K70" s="3"/>
      <c r="L70" s="3"/>
      <c r="M70" s="65"/>
      <c r="O70" s="64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65"/>
    </row>
    <row r="71" spans="2:27" x14ac:dyDescent="0.25">
      <c r="B71" s="66"/>
      <c r="C71" s="74" t="s">
        <v>108</v>
      </c>
      <c r="D71" s="75"/>
      <c r="E71" s="67"/>
      <c r="F71" s="67"/>
      <c r="G71" s="67"/>
      <c r="H71" s="67"/>
      <c r="I71" s="67"/>
      <c r="J71" s="67"/>
      <c r="K71" s="67"/>
      <c r="L71" s="67"/>
      <c r="M71" s="68"/>
      <c r="O71" s="66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8"/>
    </row>
  </sheetData>
  <mergeCells count="67">
    <mergeCell ref="C16:L18"/>
    <mergeCell ref="C19:L20"/>
    <mergeCell ref="G21:L21"/>
    <mergeCell ref="C3:L3"/>
    <mergeCell ref="C4:L4"/>
    <mergeCell ref="C15:L15"/>
    <mergeCell ref="C9:L9"/>
    <mergeCell ref="C8:L8"/>
    <mergeCell ref="C6:L7"/>
    <mergeCell ref="C10:L10"/>
    <mergeCell ref="C11:L11"/>
    <mergeCell ref="C12:L12"/>
    <mergeCell ref="C13:L13"/>
    <mergeCell ref="C14:L14"/>
    <mergeCell ref="G30:L30"/>
    <mergeCell ref="G29:L29"/>
    <mergeCell ref="G28:L28"/>
    <mergeCell ref="C68:L69"/>
    <mergeCell ref="G35:L35"/>
    <mergeCell ref="C59:L60"/>
    <mergeCell ref="C61:L62"/>
    <mergeCell ref="G43:L43"/>
    <mergeCell ref="G42:L42"/>
    <mergeCell ref="G41:L41"/>
    <mergeCell ref="C50:L50"/>
    <mergeCell ref="C55:L55"/>
    <mergeCell ref="C54:L54"/>
    <mergeCell ref="C56:L57"/>
    <mergeCell ref="C47:L48"/>
    <mergeCell ref="C53:L53"/>
    <mergeCell ref="C52:L52"/>
    <mergeCell ref="C51:L51"/>
    <mergeCell ref="C49:L49"/>
    <mergeCell ref="C43:F43"/>
    <mergeCell ref="C42:F42"/>
    <mergeCell ref="C41:F41"/>
    <mergeCell ref="C40:F40"/>
    <mergeCell ref="C58:L58"/>
    <mergeCell ref="P5:W5"/>
    <mergeCell ref="X5:Z5"/>
    <mergeCell ref="C5:L5"/>
    <mergeCell ref="C21:F21"/>
    <mergeCell ref="C28:F28"/>
    <mergeCell ref="C27:F27"/>
    <mergeCell ref="C25:F26"/>
    <mergeCell ref="C24:F24"/>
    <mergeCell ref="C23:F23"/>
    <mergeCell ref="C22:F22"/>
    <mergeCell ref="G22:L22"/>
    <mergeCell ref="G27:L27"/>
    <mergeCell ref="G26:L26"/>
    <mergeCell ref="C2:L2"/>
    <mergeCell ref="G40:L40"/>
    <mergeCell ref="G39:L39"/>
    <mergeCell ref="C39:F39"/>
    <mergeCell ref="C37:L38"/>
    <mergeCell ref="C36:L36"/>
    <mergeCell ref="G31:L32"/>
    <mergeCell ref="C34:F34"/>
    <mergeCell ref="C33:F33"/>
    <mergeCell ref="C30:F32"/>
    <mergeCell ref="C29:F29"/>
    <mergeCell ref="G24:L24"/>
    <mergeCell ref="G23:L23"/>
    <mergeCell ref="G25:L25"/>
    <mergeCell ref="G34:L34"/>
    <mergeCell ref="G33:L33"/>
  </mergeCells>
  <hyperlinks>
    <hyperlink ref="C4" r:id="rId1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L29"/>
  <sheetViews>
    <sheetView tabSelected="1" zoomScale="70" zoomScaleNormal="70" workbookViewId="0">
      <selection activeCell="B1" sqref="B1"/>
    </sheetView>
  </sheetViews>
  <sheetFormatPr defaultColWidth="9.140625" defaultRowHeight="15" x14ac:dyDescent="0.25"/>
  <cols>
    <col min="1" max="1" width="13.42578125" style="15" bestFit="1" customWidth="1"/>
    <col min="2" max="2" width="80" style="14" bestFit="1" customWidth="1"/>
    <col min="3" max="3" width="10.5703125" style="6" hidden="1" customWidth="1"/>
    <col min="4" max="5" width="9.140625" style="6" hidden="1" customWidth="1"/>
    <col min="6" max="6" width="18.7109375" style="6" hidden="1" customWidth="1"/>
    <col min="7" max="7" width="0.140625" style="6" customWidth="1"/>
    <col min="8" max="8" width="50.5703125" style="17" bestFit="1" customWidth="1"/>
    <col min="9" max="9" width="12.42578125" style="82" customWidth="1"/>
    <col min="10" max="10" width="41.42578125" style="82" customWidth="1"/>
    <col min="11" max="11" width="55.140625" style="53" customWidth="1"/>
    <col min="12" max="16384" width="9.140625" style="16"/>
  </cols>
  <sheetData>
    <row r="1" spans="1:12" ht="61.5" customHeight="1" thickBot="1" x14ac:dyDescent="0.3">
      <c r="A1" s="21" t="s">
        <v>15</v>
      </c>
      <c r="B1" s="55"/>
      <c r="C1" s="48"/>
      <c r="D1" s="49"/>
      <c r="E1" s="50" t="s">
        <v>37</v>
      </c>
      <c r="F1" s="51"/>
      <c r="G1" s="52"/>
      <c r="H1" s="127" t="s">
        <v>132</v>
      </c>
      <c r="I1" s="127"/>
      <c r="J1" s="127"/>
      <c r="K1" s="53" t="s">
        <v>119</v>
      </c>
    </row>
    <row r="2" spans="1:12" ht="15.75" customHeight="1" x14ac:dyDescent="0.25">
      <c r="A2" s="46" t="s">
        <v>16</v>
      </c>
      <c r="B2" s="56"/>
      <c r="H2" s="176" t="s">
        <v>136</v>
      </c>
      <c r="I2" s="28"/>
      <c r="K2" s="53" t="s">
        <v>120</v>
      </c>
    </row>
    <row r="3" spans="1:12" ht="16.5" thickBot="1" x14ac:dyDescent="0.3">
      <c r="A3" s="46" t="s">
        <v>38</v>
      </c>
      <c r="B3" s="56"/>
      <c r="C3" s="1"/>
      <c r="H3" s="177"/>
      <c r="I3" s="29"/>
      <c r="K3" s="53" t="s">
        <v>142</v>
      </c>
    </row>
    <row r="4" spans="1:12" ht="15.75" customHeight="1" x14ac:dyDescent="0.25">
      <c r="A4" s="46" t="s">
        <v>17</v>
      </c>
      <c r="B4" s="56"/>
      <c r="C4" s="11" t="s">
        <v>11</v>
      </c>
      <c r="D4" s="4" t="s">
        <v>12</v>
      </c>
      <c r="E4" s="4" t="s">
        <v>13</v>
      </c>
      <c r="J4" s="83"/>
      <c r="K4" s="53">
        <v>1</v>
      </c>
    </row>
    <row r="5" spans="1:12" ht="27" customHeight="1" x14ac:dyDescent="0.25">
      <c r="A5" s="21" t="s">
        <v>9</v>
      </c>
      <c r="B5" s="27" t="str">
        <f>IF($G$5=4,$C$7,IF($G$5=3,$D$7,IF($G$5=2,$E$7,$F$7)))</f>
        <v>Greenfield</v>
      </c>
      <c r="C5" s="1" t="s">
        <v>18</v>
      </c>
      <c r="D5" s="6">
        <v>56</v>
      </c>
      <c r="E5" s="1" t="s">
        <v>19</v>
      </c>
      <c r="F5" s="6">
        <v>56</v>
      </c>
      <c r="G5" s="1">
        <v>4</v>
      </c>
      <c r="H5" s="57" t="s">
        <v>40</v>
      </c>
      <c r="J5" s="47" t="str">
        <f>"Photos Required "&amp; COUNTIF(I9:I50,"Yes")</f>
        <v>Photos Required 0</v>
      </c>
    </row>
    <row r="6" spans="1:12" s="1" customFormat="1" ht="27" hidden="1" customHeight="1" x14ac:dyDescent="0.25">
      <c r="A6" s="7"/>
      <c r="B6" s="8"/>
      <c r="D6" s="6"/>
      <c r="E6" s="6"/>
      <c r="F6" s="6"/>
      <c r="H6" s="9"/>
      <c r="I6" s="2"/>
      <c r="J6" s="2"/>
      <c r="K6" s="53"/>
    </row>
    <row r="7" spans="1:12" ht="19.5" customHeight="1" thickBot="1" x14ac:dyDescent="0.35">
      <c r="A7" s="22" t="s">
        <v>118</v>
      </c>
      <c r="C7" s="1" t="s">
        <v>5</v>
      </c>
      <c r="D7" s="6" t="s">
        <v>6</v>
      </c>
      <c r="E7" s="6" t="s">
        <v>7</v>
      </c>
      <c r="F7" s="6" t="s">
        <v>8</v>
      </c>
      <c r="G7" s="6" t="s">
        <v>4</v>
      </c>
      <c r="H7" s="20"/>
    </row>
    <row r="8" spans="1:12" ht="22.5" customHeight="1" collapsed="1" thickBot="1" x14ac:dyDescent="0.3">
      <c r="B8" s="85" t="s">
        <v>125</v>
      </c>
      <c r="C8" s="5">
        <v>0</v>
      </c>
      <c r="D8" s="5">
        <v>0</v>
      </c>
      <c r="E8" s="5">
        <v>0</v>
      </c>
      <c r="F8" s="5">
        <v>0</v>
      </c>
      <c r="G8" s="1" t="s">
        <v>4</v>
      </c>
      <c r="H8" s="87" t="s">
        <v>10</v>
      </c>
      <c r="I8" s="88" t="s">
        <v>21</v>
      </c>
      <c r="J8" s="89" t="s">
        <v>14</v>
      </c>
    </row>
    <row r="9" spans="1:12" ht="47.25" customHeight="1" thickBot="1" x14ac:dyDescent="0.3">
      <c r="A9" s="53">
        <v>1</v>
      </c>
      <c r="B9" s="86" t="s">
        <v>128</v>
      </c>
      <c r="C9" s="12" t="s">
        <v>0</v>
      </c>
      <c r="D9" s="12" t="s">
        <v>1</v>
      </c>
      <c r="E9" s="12" t="s">
        <v>2</v>
      </c>
      <c r="F9" s="12" t="s">
        <v>3</v>
      </c>
      <c r="G9" s="12" t="s">
        <v>11</v>
      </c>
      <c r="H9" s="90" t="str">
        <f>IF(G9="Heading","",$B$2&amp;"_"&amp;$B$3&amp;"_"&amp;$B$8&amp;"_0"&amp;A9&amp;".jpg")</f>
        <v>__Cabinet_Layout_01.jpg</v>
      </c>
      <c r="I9" s="91"/>
      <c r="J9" s="101"/>
      <c r="K9" s="53" t="str">
        <f>IF(G9="Heading","",$B$2&amp;"_"&amp;$B$3&amp;"_"&amp;"Equipment_cabinet/shelter_01.jpg")</f>
        <v>__Equipment_cabinet/shelter_01.jpg</v>
      </c>
      <c r="L9" s="121" t="s">
        <v>147</v>
      </c>
    </row>
    <row r="10" spans="1:12" s="18" customFormat="1" ht="19.5" thickBot="1" x14ac:dyDescent="0.3">
      <c r="A10" s="54"/>
      <c r="B10" s="92" t="s">
        <v>117</v>
      </c>
      <c r="C10" s="25">
        <v>0</v>
      </c>
      <c r="D10" s="25">
        <v>0</v>
      </c>
      <c r="E10" s="25">
        <v>0</v>
      </c>
      <c r="F10" s="25">
        <v>0</v>
      </c>
      <c r="G10" s="26" t="s">
        <v>4</v>
      </c>
      <c r="H10" s="93" t="str">
        <f>IF(G10="Heading","",G10)</f>
        <v/>
      </c>
      <c r="I10" s="94"/>
      <c r="J10" s="102"/>
      <c r="K10" s="53" t="str">
        <f>IF(G10="Heading","",$B$2&amp;"_"&amp;$B$3&amp;"_"&amp;"Equipment_cabinet/shelter_01.jpg")</f>
        <v/>
      </c>
      <c r="L10" s="122"/>
    </row>
    <row r="11" spans="1:12" ht="45" x14ac:dyDescent="0.25">
      <c r="A11" s="53">
        <v>1</v>
      </c>
      <c r="B11" s="86" t="s">
        <v>129</v>
      </c>
      <c r="C11" s="12" t="s">
        <v>0</v>
      </c>
      <c r="D11" s="12" t="s">
        <v>1</v>
      </c>
      <c r="E11" s="12"/>
      <c r="F11" s="12"/>
      <c r="G11" s="12" t="str">
        <f t="shared" ref="G11:G12" si="0">IF(INDEX(C11:F11,IF($B$5=$C$7,1,IF($B$5=$D$7,2,IF($B$5=$E$7,3,4))))&gt;0,"Yes","No")</f>
        <v>Yes</v>
      </c>
      <c r="H11" s="90" t="str">
        <f>IF(G11="Heading","",$B$2&amp;"_"&amp;$B$3&amp;"_"&amp;$B$10&amp;"_0"&amp;A11&amp;".jpg")</f>
        <v>__DC_Panel_01.jpg</v>
      </c>
      <c r="I11" s="91"/>
      <c r="J11" s="101"/>
      <c r="K11" s="53" t="str">
        <f>IF(G11="Heading","",$B$2&amp;"_"&amp;$B$3&amp;"_"&amp;"DC_01.jpg")</f>
        <v>__DC_01.jpg</v>
      </c>
      <c r="L11" s="121" t="s">
        <v>148</v>
      </c>
    </row>
    <row r="12" spans="1:12" ht="30" x14ac:dyDescent="0.25">
      <c r="A12" s="53">
        <v>2</v>
      </c>
      <c r="B12" s="116" t="s">
        <v>130</v>
      </c>
      <c r="C12" s="10" t="s">
        <v>0</v>
      </c>
      <c r="D12" s="10" t="s">
        <v>1</v>
      </c>
      <c r="E12" s="10"/>
      <c r="F12" s="10"/>
      <c r="G12" s="10" t="str">
        <f t="shared" si="0"/>
        <v>Yes</v>
      </c>
      <c r="H12" s="95" t="str">
        <f>IF(G12="Heading","",$B$2&amp;"_"&amp;$B$3&amp;"_"&amp;$B$10&amp;"_0"&amp;A12&amp;".jpg")</f>
        <v>__DC_Panel_02.jpg</v>
      </c>
      <c r="I12" s="96"/>
      <c r="J12" s="103"/>
      <c r="K12" s="53" t="str">
        <f>IF(G12="Heading","",$B$2&amp;"_"&amp;$B$3&amp;"_"&amp;"DC_02.jpg")</f>
        <v>__DC_02.jpg</v>
      </c>
      <c r="L12" s="121" t="s">
        <v>149</v>
      </c>
    </row>
    <row r="13" spans="1:12" ht="19.5" thickBot="1" x14ac:dyDescent="0.3">
      <c r="A13" s="53"/>
      <c r="B13" s="117" t="s">
        <v>119</v>
      </c>
      <c r="C13" s="5">
        <v>0</v>
      </c>
      <c r="D13" s="5">
        <v>0</v>
      </c>
      <c r="E13" s="5">
        <v>0</v>
      </c>
      <c r="F13" s="5">
        <v>0</v>
      </c>
      <c r="G13" s="1" t="s">
        <v>4</v>
      </c>
      <c r="H13" s="97" t="str">
        <f t="shared" ref="H13" si="1">IF(G13="Heading","",G13)</f>
        <v/>
      </c>
      <c r="I13" s="98"/>
      <c r="J13" s="104"/>
      <c r="K13" s="53" t="str">
        <f>IF(G13="Heading","",$B$2&amp;"_"&amp;$B$3&amp;"_"&amp;"Equipment_cabinet/shelter_01.jpg")</f>
        <v/>
      </c>
      <c r="L13" s="121"/>
    </row>
    <row r="14" spans="1:12" ht="30" x14ac:dyDescent="0.25">
      <c r="A14" s="53">
        <v>1</v>
      </c>
      <c r="B14" s="86" t="s">
        <v>145</v>
      </c>
      <c r="C14" s="113" t="s">
        <v>0</v>
      </c>
      <c r="D14" s="113" t="s">
        <v>1</v>
      </c>
      <c r="E14" s="113" t="s">
        <v>2</v>
      </c>
      <c r="F14" s="113" t="s">
        <v>3</v>
      </c>
      <c r="G14" s="113" t="str">
        <f>IF(INDEX(C14:F14,IF($B$5=$C$7,1,IF($B$5=$D$7,2,IF($B$5=$E$7,3,4))))&gt;0,"Yes","No")</f>
        <v>Yes</v>
      </c>
      <c r="H14" s="90" t="str">
        <f>IF(G14="Heading","",$B$2&amp;"_"&amp;$B$3&amp;"_"&amp;$K$1&amp;"_0"&amp;A14&amp;".jpg")</f>
        <v>__RF_Tilts_Sector_01.jpg</v>
      </c>
      <c r="I14" s="91"/>
      <c r="J14" s="101"/>
      <c r="K14" s="53" t="str">
        <f>IF(G14="Heading","",$B$2&amp;"_"&amp;$B$3&amp;"_"&amp;"Sector_"&amp;A14&amp;"_05.jpg")</f>
        <v>__Sector_1_05.jpg</v>
      </c>
      <c r="L14" s="53" t="s">
        <v>155</v>
      </c>
    </row>
    <row r="15" spans="1:12" ht="19.5" thickBot="1" x14ac:dyDescent="0.3">
      <c r="A15" s="53"/>
      <c r="B15" s="117" t="s">
        <v>120</v>
      </c>
      <c r="C15" s="5">
        <v>0</v>
      </c>
      <c r="D15" s="5">
        <v>0</v>
      </c>
      <c r="E15" s="5">
        <v>0</v>
      </c>
      <c r="F15" s="5">
        <v>0</v>
      </c>
      <c r="G15" s="1" t="s">
        <v>4</v>
      </c>
      <c r="H15" s="97" t="str">
        <f t="shared" ref="H15" si="2">IF(G15="Heading","",G15)</f>
        <v/>
      </c>
      <c r="I15" s="98"/>
      <c r="J15" s="104"/>
      <c r="K15" s="53" t="str">
        <f>IF(G15="Heading","",$B$2&amp;"_"&amp;$B$3&amp;"_"&amp;"Equipment_cabinet/shelter_01.jpg")</f>
        <v/>
      </c>
      <c r="L15" s="121"/>
    </row>
    <row r="16" spans="1:12" ht="30" x14ac:dyDescent="0.25">
      <c r="A16" s="53">
        <v>1</v>
      </c>
      <c r="B16" s="118" t="s">
        <v>146</v>
      </c>
      <c r="C16" s="113" t="s">
        <v>0</v>
      </c>
      <c r="D16" s="113" t="s">
        <v>1</v>
      </c>
      <c r="E16" s="113" t="s">
        <v>2</v>
      </c>
      <c r="F16" s="113" t="s">
        <v>3</v>
      </c>
      <c r="G16" s="113" t="str">
        <f>IF(INDEX(C16:F16,IF($B$5=$C$7,1,IF($B$5=$D$7,2,IF($B$5=$E$7,3,4))))&gt;0,"Yes","No")</f>
        <v>Yes</v>
      </c>
      <c r="H16" s="90" t="str">
        <f>IF(G16="Heading","",$B$2&amp;"_"&amp;$B$3&amp;"_"&amp;$K$2&amp;"_0"&amp;A16&amp;".jpg")</f>
        <v>__RF_AE_Detail_Sector_01.jpg</v>
      </c>
      <c r="I16" s="91"/>
      <c r="J16" s="101"/>
      <c r="K16" s="53" t="str">
        <f>IF(G16="Heading","",$B$2&amp;"_"&amp;$B$3&amp;"_"&amp;"Sector_"&amp;A16&amp;"_06.jpg")</f>
        <v>__Sector_1_06.jpg</v>
      </c>
      <c r="L16" s="53" t="s">
        <v>156</v>
      </c>
    </row>
    <row r="17" spans="1:12" ht="19.5" thickBot="1" x14ac:dyDescent="0.3">
      <c r="A17" s="53"/>
      <c r="B17" s="117" t="s">
        <v>142</v>
      </c>
      <c r="C17" s="97" t="s">
        <v>20</v>
      </c>
      <c r="D17" s="98"/>
      <c r="E17" s="104"/>
      <c r="F17" s="23"/>
      <c r="G17" s="23"/>
      <c r="H17" s="97"/>
      <c r="I17" s="98"/>
      <c r="J17" s="104"/>
      <c r="L17" s="121"/>
    </row>
    <row r="18" spans="1:12" ht="30" x14ac:dyDescent="0.25">
      <c r="A18" s="53">
        <v>1</v>
      </c>
      <c r="B18" s="119" t="s">
        <v>144</v>
      </c>
      <c r="C18" s="106" t="s">
        <v>141</v>
      </c>
      <c r="D18" s="91"/>
      <c r="E18" s="101" t="s">
        <v>140</v>
      </c>
      <c r="F18" s="114"/>
      <c r="G18" s="114"/>
      <c r="H18" s="95" t="str">
        <f>IF(G18="Heading","",$B$2&amp;"_"&amp;$B$3&amp;"_"&amp;$K$3&amp;"_0"&amp;A18&amp;".jpg")</f>
        <v>__RF_VET_Sector_01.jpg</v>
      </c>
      <c r="I18" s="91"/>
      <c r="J18" s="101"/>
      <c r="K18" s="53" t="str">
        <f>IF(G18="Heading","",$B$2&amp;"_"&amp;$B$3&amp;"_"&amp;"Sector_"&amp;A18&amp;"_05.jpg")</f>
        <v>__Sector_1_05.jpg</v>
      </c>
      <c r="L18" s="53" t="s">
        <v>155</v>
      </c>
    </row>
    <row r="19" spans="1:12" ht="19.5" thickBot="1" x14ac:dyDescent="0.3">
      <c r="A19" s="53"/>
      <c r="B19" s="117" t="s">
        <v>137</v>
      </c>
      <c r="C19" s="5">
        <v>0</v>
      </c>
      <c r="D19" s="5">
        <v>0</v>
      </c>
      <c r="E19" s="5">
        <v>0</v>
      </c>
      <c r="F19" s="5">
        <v>0</v>
      </c>
      <c r="G19" s="1" t="s">
        <v>4</v>
      </c>
      <c r="H19" s="97" t="str">
        <f t="shared" ref="H19:H23" si="3">IF(G19="Heading","",G19)</f>
        <v/>
      </c>
      <c r="I19" s="98"/>
      <c r="J19" s="104"/>
      <c r="K19" s="53" t="str">
        <f>IF(G19="Heading","",$B$2&amp;"_"&amp;$B$3&amp;"_"&amp;"Equipment_cabinet/shelter_01.jpg")</f>
        <v/>
      </c>
      <c r="L19" s="121"/>
    </row>
    <row r="20" spans="1:12" ht="15.75" thickBot="1" x14ac:dyDescent="0.3">
      <c r="A20" s="53">
        <v>1</v>
      </c>
      <c r="B20" s="86" t="s">
        <v>121</v>
      </c>
      <c r="C20" s="12" t="s">
        <v>0</v>
      </c>
      <c r="D20" s="12" t="s">
        <v>1</v>
      </c>
      <c r="E20" s="12" t="s">
        <v>2</v>
      </c>
      <c r="F20" s="12" t="s">
        <v>3</v>
      </c>
      <c r="G20" s="12" t="str">
        <f>IF(INDEX(C20:F20,IF($B$5=$C$7,1,IF($B$5=$D$7,2,IF($B$5=$E$7,3,4))))&gt;0,"Yes","No")</f>
        <v>Yes</v>
      </c>
      <c r="H20" s="90" t="str">
        <f>IF(G20="Heading","",$B$2&amp;"_"&amp;$B$3&amp;"_"&amp;B19&amp;"_0"&amp;A20&amp;".jpg")</f>
        <v>__MW_AE_Detail_01.jpg</v>
      </c>
      <c r="I20" s="91"/>
      <c r="J20" s="101"/>
      <c r="K20" s="53" t="str">
        <f>IF(G20="Heading","",$B$2&amp;"_"&amp;$B$3&amp;"_"&amp;$B$19&amp;"_0"&amp;A20&amp;".jpg")</f>
        <v>__MW_AE_Detail_01.jpg</v>
      </c>
      <c r="L20" s="121" t="s">
        <v>150</v>
      </c>
    </row>
    <row r="21" spans="1:12" ht="15.75" thickBot="1" x14ac:dyDescent="0.3">
      <c r="A21" s="53">
        <v>2</v>
      </c>
      <c r="B21" s="86" t="s">
        <v>121</v>
      </c>
      <c r="C21" s="10" t="s">
        <v>0</v>
      </c>
      <c r="D21" s="10" t="s">
        <v>1</v>
      </c>
      <c r="E21" s="10" t="s">
        <v>2</v>
      </c>
      <c r="F21" s="10" t="s">
        <v>3</v>
      </c>
      <c r="G21" s="10" t="str">
        <f>IF(INDEX(C21:F21,IF($B$5=$C$7,1,IF($B$5=$D$7,2,IF($B$5=$E$7,3,4))))&gt;0,"Yes","No")</f>
        <v>Yes</v>
      </c>
      <c r="H21" s="90" t="str">
        <f>IF(G21="Heading","",$B$2&amp;"_"&amp;$B$3&amp;"_"&amp;B19&amp;"_0"&amp;A21&amp;".jpg")</f>
        <v>__MW_AE_Detail_02.jpg</v>
      </c>
      <c r="I21" s="96"/>
      <c r="J21" s="103"/>
      <c r="K21" s="53" t="str">
        <f>IF(G21="Heading","",$B$2&amp;"_"&amp;$B$3&amp;"_"&amp;$B$19&amp;"_0"&amp;A21&amp;".jpg")</f>
        <v>__MW_AE_Detail_02.jpg</v>
      </c>
      <c r="L21" s="121" t="s">
        <v>151</v>
      </c>
    </row>
    <row r="22" spans="1:12" x14ac:dyDescent="0.25">
      <c r="A22" s="53">
        <v>3</v>
      </c>
      <c r="B22" s="86" t="s">
        <v>121</v>
      </c>
      <c r="C22" s="10" t="s">
        <v>0</v>
      </c>
      <c r="D22" s="10" t="s">
        <v>1</v>
      </c>
      <c r="E22" s="10" t="s">
        <v>2</v>
      </c>
      <c r="F22" s="10" t="s">
        <v>3</v>
      </c>
      <c r="G22" s="10" t="str">
        <f>IF(INDEX(C22:F22,IF($B$5=$C$7,1,IF($B$5=$D$7,2,IF($B$5=$E$7,3,4))))&gt;0,"Yes","No")</f>
        <v>Yes</v>
      </c>
      <c r="H22" s="90" t="str">
        <f>IF(G22="Heading","",$B$2&amp;"_"&amp;$B$3&amp;"_"&amp;B19&amp;"_0"&amp;A22&amp;".jpg")</f>
        <v>__MW_AE_Detail_03.jpg</v>
      </c>
      <c r="I22" s="96"/>
      <c r="J22" s="103"/>
      <c r="K22" s="53" t="str">
        <f>IF(G22="Heading","",$B$2&amp;"_"&amp;$B$3&amp;"_"&amp;$B$19&amp;"_0"&amp;A22&amp;".jpg")</f>
        <v>__MW_AE_Detail_03.jpg</v>
      </c>
      <c r="L22" s="121" t="s">
        <v>152</v>
      </c>
    </row>
    <row r="23" spans="1:12" ht="19.5" thickBot="1" x14ac:dyDescent="0.3">
      <c r="A23" s="53"/>
      <c r="B23" s="117" t="s">
        <v>122</v>
      </c>
      <c r="C23" s="5">
        <v>0</v>
      </c>
      <c r="D23" s="5">
        <v>0</v>
      </c>
      <c r="E23" s="5">
        <v>0</v>
      </c>
      <c r="F23" s="5">
        <v>0</v>
      </c>
      <c r="G23" s="1" t="s">
        <v>4</v>
      </c>
      <c r="H23" s="97" t="str">
        <f t="shared" si="3"/>
        <v/>
      </c>
      <c r="I23" s="98"/>
      <c r="J23" s="104"/>
      <c r="K23" s="53" t="str">
        <f>IF(G23="Heading","",$B$2&amp;"_"&amp;$B$3&amp;"_"&amp;"Equipment_cabinet/shelter_01.jpg")</f>
        <v/>
      </c>
      <c r="L23" s="121"/>
    </row>
    <row r="24" spans="1:12" ht="30" x14ac:dyDescent="0.25">
      <c r="A24" s="53">
        <v>1</v>
      </c>
      <c r="B24" s="86" t="s">
        <v>131</v>
      </c>
      <c r="C24" s="12" t="s">
        <v>0</v>
      </c>
      <c r="D24" s="12" t="s">
        <v>1</v>
      </c>
      <c r="E24" s="12" t="s">
        <v>2</v>
      </c>
      <c r="F24" s="12" t="s">
        <v>3</v>
      </c>
      <c r="G24" s="12" t="str">
        <f t="shared" ref="G24" si="4">IF(INDEX(C24:F24,IF($B$5=$C$7,1,IF($B$5=$D$7,2,IF($B$5=$E$7,3,4))))&gt;0,"Yes","No")</f>
        <v>Yes</v>
      </c>
      <c r="H24" s="90" t="str">
        <f>IF(G24="Heading","",$B$2&amp;"_"&amp;$B$3&amp;"_"&amp;B23&amp;"_0"&amp;A24&amp;".jpg")</f>
        <v>__SEB_Earthing_01.jpg</v>
      </c>
      <c r="I24" s="91"/>
      <c r="J24" s="101"/>
      <c r="K24" s="53" t="str">
        <f>IF(G24="Heading","",$B$2&amp;"_"&amp;$B$3&amp;"_"&amp;"Earthing_01.jpg")</f>
        <v>__Earthing_01.jpg</v>
      </c>
      <c r="L24" s="121" t="s">
        <v>153</v>
      </c>
    </row>
    <row r="25" spans="1:12" s="1" customFormat="1" ht="19.5" thickBot="1" x14ac:dyDescent="0.3">
      <c r="A25" s="53"/>
      <c r="B25" s="120" t="s">
        <v>123</v>
      </c>
      <c r="C25" s="5">
        <v>0</v>
      </c>
      <c r="D25" s="5">
        <v>0</v>
      </c>
      <c r="E25" s="5">
        <v>0</v>
      </c>
      <c r="F25" s="5">
        <v>0</v>
      </c>
      <c r="G25" s="1" t="s">
        <v>4</v>
      </c>
      <c r="H25" s="99" t="s">
        <v>20</v>
      </c>
      <c r="I25" s="100"/>
      <c r="J25" s="105"/>
      <c r="K25" s="53" t="str">
        <f>IF(G25="Heading","",$B$2&amp;"_"&amp;$B$3&amp;"_"&amp;"Equipment_cabinet/shelter_01.jpg")</f>
        <v/>
      </c>
      <c r="L25" s="5"/>
    </row>
    <row r="26" spans="1:12" s="1" customFormat="1" x14ac:dyDescent="0.25">
      <c r="A26" s="54">
        <v>1</v>
      </c>
      <c r="B26" s="110" t="s">
        <v>124</v>
      </c>
      <c r="C26" s="12" t="s">
        <v>0</v>
      </c>
      <c r="D26" s="12" t="s">
        <v>1</v>
      </c>
      <c r="E26" s="12" t="s">
        <v>2</v>
      </c>
      <c r="F26" s="12" t="s">
        <v>3</v>
      </c>
      <c r="G26" s="12" t="s">
        <v>11</v>
      </c>
      <c r="H26" s="90" t="str">
        <f>IF(G26="Heading","",$B$2&amp;"_"&amp;$B$3&amp;"_"&amp;B25&amp;"_0"&amp;A26&amp;".jpg")</f>
        <v>__Battery_Sensor_01.jpg</v>
      </c>
      <c r="I26" s="96"/>
      <c r="J26" s="101"/>
      <c r="K26" s="53" t="str">
        <f>IF(G26="Heading","",$B$2&amp;"_"&amp;$B$3&amp;"_"&amp;"Battery_Sensor_0"&amp;A26&amp;".jpg")</f>
        <v>__Battery_Sensor_01.jpg</v>
      </c>
      <c r="L26" s="5" t="s">
        <v>154</v>
      </c>
    </row>
    <row r="27" spans="1:12" s="1" customFormat="1" x14ac:dyDescent="0.25">
      <c r="B27" s="24"/>
      <c r="C27" s="13">
        <v>0</v>
      </c>
      <c r="D27" s="13">
        <v>0</v>
      </c>
      <c r="E27" s="13">
        <v>0</v>
      </c>
      <c r="F27" s="13">
        <v>0</v>
      </c>
      <c r="G27" s="23" t="s">
        <v>4</v>
      </c>
      <c r="H27" s="20" t="s">
        <v>20</v>
      </c>
      <c r="I27" s="84"/>
      <c r="J27" s="84"/>
      <c r="K27" s="53"/>
    </row>
    <row r="28" spans="1:12" x14ac:dyDescent="0.25">
      <c r="C28" s="5">
        <v>0</v>
      </c>
      <c r="D28" s="5">
        <v>0</v>
      </c>
      <c r="E28" s="5">
        <v>0</v>
      </c>
      <c r="F28" s="5">
        <v>0</v>
      </c>
      <c r="G28" s="5"/>
      <c r="H28" s="19"/>
    </row>
    <row r="29" spans="1:12" collapsed="1" x14ac:dyDescent="0.25">
      <c r="B29" s="16"/>
      <c r="C29" s="6">
        <f>COUNTIF(C9:C27,"G")</f>
        <v>10</v>
      </c>
      <c r="D29" s="6">
        <f>COUNTIF(D9:D27,"C")</f>
        <v>10</v>
      </c>
      <c r="E29" s="6">
        <f>COUNTIF(E9:E27,"R")</f>
        <v>8</v>
      </c>
      <c r="F29" s="6">
        <f>COUNTIF(F9:F27,"I")</f>
        <v>8</v>
      </c>
    </row>
  </sheetData>
  <autoFilter ref="A6:J29">
    <filterColumn colId="6">
      <filters blank="1">
        <filter val="Heading"/>
        <filter val="Yes"/>
      </filters>
    </filterColumn>
  </autoFilter>
  <mergeCells count="2">
    <mergeCell ref="H1:J1"/>
    <mergeCell ref="H2:H3"/>
  </mergeCells>
  <conditionalFormatting sqref="J26 J11:J12 J20:J22 J24 J9 J14">
    <cfRule type="expression" dxfId="3" priority="548">
      <formula>I9&lt;&gt;"Yes"</formula>
    </cfRule>
  </conditionalFormatting>
  <conditionalFormatting sqref="J16">
    <cfRule type="expression" dxfId="2" priority="11">
      <formula>I16&lt;&gt;"Yes"</formula>
    </cfRule>
  </conditionalFormatting>
  <conditionalFormatting sqref="E18 J18">
    <cfRule type="expression" dxfId="1" priority="10">
      <formula>D18&lt;&gt;"Yes"</formula>
    </cfRule>
  </conditionalFormatting>
  <dataValidations disablePrompts="1" count="4">
    <dataValidation type="list" showErrorMessage="1" error="Select value &quot;Yes&quot;, &quot;No&quot; or &quot;N/A&quot;" sqref="I24 I20:I22 I9 I11:I12 I26 D18 I16 I14 I18">
      <formula1>$C$4:$E$4</formula1>
    </dataValidation>
    <dataValidation type="list" showErrorMessage="1" error="Select value &quot;Yes&quot;, &quot;No&quot; or &quot;N/A&quot;" sqref="I27">
      <formula1>$C$3:$E$3</formula1>
    </dataValidation>
    <dataValidation type="list" showDropDown="1" showErrorMessage="1" sqref="B6">
      <formula1>$C$7:$F$7</formula1>
    </dataValidation>
    <dataValidation type="list" showDropDown="1" showInputMessage="1" showErrorMessage="1" error="Site type must be selected using the control." prompt="Site type must be selected using the control." sqref="B5">
      <formula1>$C$7:$F$7</formula1>
    </dataValidation>
  </dataValidations>
  <hyperlinks>
    <hyperlink ref="L14" r:id="rId1"/>
    <hyperlink ref="L16" r:id="rId2"/>
    <hyperlink ref="L18" r:id="rId3"/>
  </hyperlinks>
  <pageMargins left="0.2" right="0.2" top="0.5" bottom="0.5" header="0" footer="0"/>
  <pageSetup paperSize="9" scale="59" orientation="portrait" r:id="rId4"/>
  <ignoredErrors>
    <ignoredError sqref="H14 K14" formula="1"/>
  </ignoredError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Spinner 11">
              <controlPr defaultSize="0" print="0" autoPict="0" macro="[0]!Spinner11_Change">
                <anchor moveWithCells="1" sizeWithCells="1">
                  <from>
                    <xdr:col>1</xdr:col>
                    <xdr:colOff>5010150</xdr:colOff>
                    <xdr:row>4</xdr:row>
                    <xdr:rowOff>0</xdr:rowOff>
                  </from>
                  <to>
                    <xdr:col>1</xdr:col>
                    <xdr:colOff>5314950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14"/>
  <sheetViews>
    <sheetView workbookViewId="0">
      <selection activeCell="E37" sqref="E37"/>
    </sheetView>
  </sheetViews>
  <sheetFormatPr defaultColWidth="9.140625" defaultRowHeight="15" x14ac:dyDescent="0.25"/>
  <cols>
    <col min="1" max="1" width="9.140625" style="30"/>
    <col min="2" max="2" width="10.7109375" style="58" bestFit="1" customWidth="1"/>
    <col min="3" max="3" width="13.42578125" style="30" customWidth="1"/>
    <col min="4" max="4" width="13.7109375" style="30" customWidth="1"/>
    <col min="5" max="5" width="28.42578125" style="30" bestFit="1" customWidth="1"/>
    <col min="6" max="6" width="21" style="30" customWidth="1"/>
    <col min="7" max="16384" width="9.140625" style="30"/>
  </cols>
  <sheetData>
    <row r="1" spans="2:6" thickBot="1" x14ac:dyDescent="0.35"/>
    <row r="2" spans="2:6" thickBot="1" x14ac:dyDescent="0.35">
      <c r="B2" s="178" t="s">
        <v>23</v>
      </c>
      <c r="C2" s="179"/>
      <c r="D2" s="179"/>
      <c r="E2" s="179"/>
      <c r="F2" s="180"/>
    </row>
    <row r="3" spans="2:6" thickBot="1" x14ac:dyDescent="0.35">
      <c r="B3" s="59" t="s">
        <v>24</v>
      </c>
      <c r="C3" s="31" t="s">
        <v>25</v>
      </c>
      <c r="D3" s="31" t="s">
        <v>26</v>
      </c>
      <c r="E3" s="31" t="s">
        <v>27</v>
      </c>
      <c r="F3" s="32" t="s">
        <v>28</v>
      </c>
    </row>
    <row r="4" spans="2:6" ht="30" customHeight="1" x14ac:dyDescent="0.3">
      <c r="B4" s="77">
        <v>41739</v>
      </c>
      <c r="C4" s="76" t="s">
        <v>133</v>
      </c>
      <c r="D4" s="33" t="s">
        <v>134</v>
      </c>
      <c r="E4" s="34" t="s">
        <v>135</v>
      </c>
      <c r="F4" s="35"/>
    </row>
    <row r="5" spans="2:6" ht="14.45" x14ac:dyDescent="0.3">
      <c r="B5" s="78"/>
      <c r="C5" s="79"/>
      <c r="D5" s="36"/>
      <c r="E5" s="37"/>
      <c r="F5" s="38"/>
    </row>
    <row r="6" spans="2:6" ht="14.45" x14ac:dyDescent="0.3">
      <c r="B6" s="78"/>
      <c r="C6" s="79"/>
      <c r="D6" s="36"/>
      <c r="E6" s="37"/>
      <c r="F6" s="38"/>
    </row>
    <row r="7" spans="2:6" ht="14.45" x14ac:dyDescent="0.3">
      <c r="B7" s="78"/>
      <c r="C7" s="79"/>
      <c r="D7" s="36"/>
      <c r="E7" s="37"/>
      <c r="F7" s="38"/>
    </row>
    <row r="8" spans="2:6" ht="14.45" x14ac:dyDescent="0.3">
      <c r="B8" s="78"/>
      <c r="C8" s="79"/>
      <c r="D8" s="36"/>
      <c r="E8" s="37"/>
      <c r="F8" s="38"/>
    </row>
    <row r="9" spans="2:6" ht="14.45" x14ac:dyDescent="0.3">
      <c r="B9" s="78"/>
      <c r="C9" s="79"/>
      <c r="D9" s="36"/>
      <c r="E9" s="37"/>
      <c r="F9" s="38"/>
    </row>
    <row r="10" spans="2:6" thickBot="1" x14ac:dyDescent="0.35">
      <c r="B10" s="80"/>
      <c r="C10" s="81"/>
      <c r="D10" s="39"/>
      <c r="E10" s="40"/>
      <c r="F10" s="41"/>
    </row>
    <row r="11" spans="2:6" ht="14.45" x14ac:dyDescent="0.3">
      <c r="B11" s="60"/>
      <c r="C11" s="44"/>
      <c r="D11" s="43"/>
      <c r="E11" s="45"/>
      <c r="F11" s="43"/>
    </row>
    <row r="12" spans="2:6" ht="14.45" x14ac:dyDescent="0.3">
      <c r="B12" s="60"/>
      <c r="C12" s="44"/>
      <c r="D12" s="43"/>
      <c r="E12" s="45"/>
      <c r="F12" s="43"/>
    </row>
    <row r="13" spans="2:6" ht="14.45" x14ac:dyDescent="0.3">
      <c r="B13" s="60"/>
      <c r="C13" s="44"/>
      <c r="D13" s="43"/>
      <c r="E13" s="45"/>
      <c r="F13" s="43"/>
    </row>
    <row r="14" spans="2:6" ht="14.45" x14ac:dyDescent="0.3">
      <c r="B14" s="60"/>
      <c r="C14" s="44"/>
      <c r="D14" s="43"/>
      <c r="E14" s="45"/>
      <c r="F14" s="43"/>
    </row>
  </sheetData>
  <mergeCells count="1">
    <mergeCell ref="B2:F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6"/>
  <sheetViews>
    <sheetView workbookViewId="0">
      <selection activeCell="A6" sqref="A6:K6"/>
    </sheetView>
  </sheetViews>
  <sheetFormatPr defaultRowHeight="15" x14ac:dyDescent="0.25"/>
  <cols>
    <col min="1" max="1" width="2" bestFit="1" customWidth="1"/>
    <col min="2" max="2" width="142.28515625" bestFit="1" customWidth="1"/>
    <col min="3" max="3" width="42.85546875" bestFit="1" customWidth="1"/>
    <col min="4" max="4" width="2.140625" bestFit="1" customWidth="1"/>
    <col min="5" max="5" width="19.5703125" bestFit="1" customWidth="1"/>
    <col min="6" max="6" width="2" bestFit="1" customWidth="1"/>
    <col min="7" max="7" width="8.28515625" bestFit="1" customWidth="1"/>
    <col min="8" max="8" width="115.42578125" bestFit="1" customWidth="1"/>
    <col min="11" max="11" width="123.28515625" style="53" bestFit="1" customWidth="1"/>
  </cols>
  <sheetData>
    <row r="1" spans="1:11" s="112" customFormat="1" ht="19.5" thickBot="1" x14ac:dyDescent="0.3">
      <c r="A1" s="53"/>
      <c r="B1" s="85" t="s">
        <v>119</v>
      </c>
      <c r="C1" s="115">
        <v>0</v>
      </c>
      <c r="D1" s="115">
        <v>0</v>
      </c>
      <c r="E1" s="115">
        <v>0</v>
      </c>
      <c r="F1" s="115">
        <v>0</v>
      </c>
      <c r="G1" s="111" t="s">
        <v>4</v>
      </c>
      <c r="H1" s="97" t="str">
        <f t="shared" ref="H1" si="0">IF(G1="Heading","",G1)</f>
        <v/>
      </c>
      <c r="I1" s="98"/>
      <c r="J1" s="104"/>
      <c r="K1" s="53" t="str">
        <f>IF(G1="Heading","",$B$2&amp;"_"&amp;$B$3&amp;"_"&amp;"Equipment_cabinet/shelter_01.jpg")</f>
        <v/>
      </c>
    </row>
    <row r="2" spans="1:11" s="112" customFormat="1" x14ac:dyDescent="0.25">
      <c r="A2" s="53">
        <v>1</v>
      </c>
      <c r="B2" s="107" t="s">
        <v>126</v>
      </c>
      <c r="C2" s="113" t="s">
        <v>0</v>
      </c>
      <c r="D2" s="113" t="s">
        <v>1</v>
      </c>
      <c r="E2" s="113" t="s">
        <v>2</v>
      </c>
      <c r="F2" s="113" t="s">
        <v>3</v>
      </c>
      <c r="G2" s="113" t="str">
        <f>IF(INDEX(C2:F2,IF($B$5=$C$7,1,IF($B$5=$D$7,2,IF($B$5=$E$7,3,4))))&gt;0,"Yes","No")</f>
        <v>Yes</v>
      </c>
      <c r="H2" s="90" t="str">
        <f>IF(G2="Heading","",$B$2&amp;"_"&amp;$B$3&amp;"_"&amp;$K$1&amp;"_0"&amp;A2&amp;".jpg")</f>
        <v>Panel antenna tilt on each sector - Sector 1 (similar to Sector_N_05 greenfield golden phto pack)_RF_AE_Detail_Sector__01.jpg</v>
      </c>
      <c r="I2" s="91"/>
      <c r="J2" s="101"/>
      <c r="K2" s="53" t="str">
        <f>IF(G2="Heading","",$B$2&amp;"_"&amp;$B$3&amp;"_"&amp;"Sector_"&amp;A2&amp;"_05.jpg")</f>
        <v>Panel antenna tilt on each sector - Sector 1 (similar to Sector_N_05 greenfield golden phto pack)_RF_AE_Detail_Sector_Sector_1_05.jpg</v>
      </c>
    </row>
    <row r="3" spans="1:11" s="112" customFormat="1" ht="19.5" thickBot="1" x14ac:dyDescent="0.3">
      <c r="A3" s="53"/>
      <c r="B3" s="85" t="s">
        <v>120</v>
      </c>
      <c r="C3" s="115">
        <v>0</v>
      </c>
      <c r="D3" s="115">
        <v>0</v>
      </c>
      <c r="E3" s="115">
        <v>0</v>
      </c>
      <c r="F3" s="115">
        <v>0</v>
      </c>
      <c r="G3" s="111" t="s">
        <v>4</v>
      </c>
      <c r="H3" s="97" t="str">
        <f t="shared" ref="H3" si="1">IF(G3="Heading","",G3)</f>
        <v/>
      </c>
      <c r="I3" s="98"/>
      <c r="J3" s="104"/>
      <c r="K3" s="53" t="str">
        <f>IF(G3="Heading","",$B$2&amp;"_"&amp;$B$3&amp;"_"&amp;"Equipment_cabinet/shelter_01.jpg")</f>
        <v/>
      </c>
    </row>
    <row r="4" spans="1:11" s="112" customFormat="1" x14ac:dyDescent="0.25">
      <c r="A4" s="53">
        <v>1</v>
      </c>
      <c r="B4" s="108" t="s">
        <v>127</v>
      </c>
      <c r="C4" s="113" t="s">
        <v>0</v>
      </c>
      <c r="D4" s="113" t="s">
        <v>1</v>
      </c>
      <c r="E4" s="113" t="s">
        <v>2</v>
      </c>
      <c r="F4" s="113" t="s">
        <v>3</v>
      </c>
      <c r="G4" s="113" t="str">
        <f>IF(INDEX(C4:F4,IF($B$5=$C$7,1,IF($B$5=$D$7,2,IF($B$5=$E$7,3,4))))&gt;0,"Yes","No")</f>
        <v>Yes</v>
      </c>
      <c r="H4" s="90" t="str">
        <f>IF(G4="Heading","",$B$2&amp;"_"&amp;$B$3&amp;"_"&amp;$K$2&amp;"_0"&amp;A4&amp;".jpg")</f>
        <v>Panel antenna tilt on each sector - Sector 1 (similar to Sector_N_05 greenfield golden phto pack)_RF_AE_Detail_Sector_Panel antenna tilt on each sector - Sector 1 (similar to Sector_N_05 greenfield golden phto pack)_RF_AE_Detail_Sector_Sector_1_05.jpg_01.jpg</v>
      </c>
      <c r="I4" s="91"/>
      <c r="J4" s="101"/>
      <c r="K4" s="53" t="str">
        <f>IF(G4="Heading","",$B$2&amp;"_"&amp;$B$3&amp;"_"&amp;"Sector_"&amp;A4&amp;"_06.jpg")</f>
        <v>Panel antenna tilt on each sector - Sector 1 (similar to Sector_N_05 greenfield golden phto pack)_RF_AE_Detail_Sector_Sector_1_06.jpg</v>
      </c>
    </row>
    <row r="5" spans="1:11" s="112" customFormat="1" ht="19.5" thickBot="1" x14ac:dyDescent="0.3">
      <c r="A5" s="53"/>
      <c r="B5" s="85" t="s">
        <v>142</v>
      </c>
      <c r="C5" s="97" t="s">
        <v>20</v>
      </c>
      <c r="D5" s="98"/>
      <c r="E5" s="104"/>
      <c r="F5" s="114"/>
      <c r="G5" s="114"/>
      <c r="H5" s="97"/>
      <c r="I5" s="98"/>
      <c r="J5" s="104"/>
      <c r="K5" s="53"/>
    </row>
    <row r="6" spans="1:11" s="112" customFormat="1" x14ac:dyDescent="0.25">
      <c r="A6" s="53">
        <v>1</v>
      </c>
      <c r="B6" s="109" t="s">
        <v>143</v>
      </c>
      <c r="C6" s="106" t="s">
        <v>141</v>
      </c>
      <c r="D6" s="91"/>
      <c r="E6" s="101" t="s">
        <v>140</v>
      </c>
      <c r="F6" s="114"/>
      <c r="G6" s="114"/>
      <c r="H6" s="95" t="str">
        <f>IF(G6="Heading","",$B$2&amp;"_"&amp;$B$3&amp;"_"&amp;$K$3&amp;"_0"&amp;A6&amp;".jpg")</f>
        <v>Panel antenna tilt on each sector - Sector 1 (similar to Sector_N_05 greenfield golden phto pack)_RF_AE_Detail_Sector__01.jpg</v>
      </c>
      <c r="I6" s="91"/>
      <c r="J6" s="101"/>
      <c r="K6" s="53" t="str">
        <f>IF(G6="Heading","",$B$2&amp;"_"&amp;$B$3&amp;"_"&amp;"Sector_"&amp;A6&amp;"_05.jpg")</f>
        <v>Panel antenna tilt on each sector - Sector 1 (similar to Sector_N_05 greenfield golden phto pack)_RF_AE_Detail_Sector_Sector_1_05.jpg</v>
      </c>
    </row>
  </sheetData>
  <conditionalFormatting sqref="J4 E6 J6 J2">
    <cfRule type="expression" dxfId="0" priority="1">
      <formula>D2&lt;&gt;"Yes"</formula>
    </cfRule>
  </conditionalFormatting>
  <dataValidations disablePrompts="1" count="1">
    <dataValidation type="list" showErrorMessage="1" error="Select value &quot;Yes&quot;, &quot;No&quot; or &quot;N/A&quot;" sqref="I2 D6 I4 I6">
      <formula1>$C$4:$E$4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Instructions</vt:lpstr>
      <vt:lpstr>Image Req</vt:lpstr>
      <vt:lpstr>Photos</vt:lpstr>
      <vt:lpstr>Version Control</vt:lpstr>
      <vt:lpstr>Data</vt:lpstr>
      <vt:lpstr>'Image Req'!_Ref298488409</vt:lpstr>
      <vt:lpstr>'Image Req'!_Ref298504688</vt:lpstr>
      <vt:lpstr>'Image Req'!_Toc301796008</vt:lpstr>
      <vt:lpstr>Photos!Print_Area</vt:lpstr>
    </vt:vector>
  </TitlesOfParts>
  <Company>NBNCo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jasonwood</dc:creator>
  <cp:lastModifiedBy>Bedaar, Sherjeel</cp:lastModifiedBy>
  <cp:lastPrinted>2012-05-03T01:00:14Z</cp:lastPrinted>
  <dcterms:created xsi:type="dcterms:W3CDTF">2012-04-30T22:53:41Z</dcterms:created>
  <dcterms:modified xsi:type="dcterms:W3CDTF">2016-01-21T00:57:08Z</dcterms:modified>
</cp:coreProperties>
</file>