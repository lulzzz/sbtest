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0" windowWidth="17100" windowHeight="11760" activeTab="2"/>
  </bookViews>
  <sheets>
    <sheet name="Instructions" sheetId="5" r:id="rId1"/>
    <sheet name="Image Req" sheetId="6" r:id="rId2"/>
    <sheet name="Photos" sheetId="1" r:id="rId3"/>
    <sheet name="Version Control" sheetId="4" r:id="rId4"/>
    <sheet name="Data" sheetId="2" r:id="rId5"/>
  </sheets>
  <functionGroups builtInGroupCount="17"/>
  <definedNames>
    <definedName name="_xlnm._FilterDatabase" localSheetId="2" hidden="1">Photos!$A$6:$J$97</definedName>
    <definedName name="_Ref298488409" localSheetId="1">'Image Req'!$C$36</definedName>
    <definedName name="_Ref298502662" localSheetId="1">'Image Req'!#REF!</definedName>
    <definedName name="_Ref298504688" localSheetId="1">'Image Req'!$C$45</definedName>
    <definedName name="_Toc301796008" localSheetId="1">'Image Req'!$C$5</definedName>
    <definedName name="_xlnm.Print_Area" localSheetId="2">Photos!$A$1:$K$87</definedName>
  </definedNames>
  <calcPr calcId="145621"/>
</workbook>
</file>

<file path=xl/calcChain.xml><?xml version="1.0" encoding="utf-8"?>
<calcChain xmlns="http://schemas.openxmlformats.org/spreadsheetml/2006/main">
  <c r="H27" i="1" l="1"/>
  <c r="H61" i="1" l="1"/>
  <c r="H2" i="2" l="1"/>
  <c r="H10" i="2"/>
  <c r="H68" i="1"/>
  <c r="H67" i="1"/>
  <c r="H65" i="1"/>
  <c r="B5" i="1"/>
  <c r="G33" i="1" l="1"/>
  <c r="H33" i="1" s="1"/>
  <c r="G40" i="1"/>
  <c r="H40" i="1" s="1"/>
  <c r="G41" i="1"/>
  <c r="H41" i="1" s="1"/>
  <c r="G13" i="2"/>
  <c r="H13" i="2" s="1"/>
  <c r="G8" i="2"/>
  <c r="H8" i="2" s="1"/>
  <c r="G7" i="2"/>
  <c r="H7" i="2" s="1"/>
  <c r="G4" i="2"/>
  <c r="H4" i="2" s="1"/>
  <c r="G14" i="2"/>
  <c r="H14" i="2" s="1"/>
  <c r="G3" i="2"/>
  <c r="H3" i="2" s="1"/>
  <c r="G12" i="2"/>
  <c r="H12" i="2" s="1"/>
  <c r="G6" i="2"/>
  <c r="H6" i="2" s="1"/>
  <c r="G11" i="2"/>
  <c r="H11" i="2" s="1"/>
  <c r="G5" i="2"/>
  <c r="H5" i="2" s="1"/>
  <c r="H24" i="1"/>
  <c r="H34" i="1"/>
  <c r="H42" i="1"/>
  <c r="H47" i="1"/>
  <c r="H56" i="1"/>
  <c r="H72" i="1"/>
  <c r="H79" i="1"/>
  <c r="H82" i="1"/>
  <c r="C87" i="1"/>
  <c r="F87" i="1"/>
  <c r="E87" i="1"/>
  <c r="D87" i="1"/>
  <c r="G38" i="1" l="1"/>
  <c r="H38" i="1" s="1"/>
  <c r="G84" i="1"/>
  <c r="H84" i="1" s="1"/>
  <c r="G31" i="1"/>
  <c r="H31" i="1" s="1"/>
  <c r="G26" i="1"/>
  <c r="H26" i="1" s="1"/>
  <c r="G21" i="1"/>
  <c r="H21" i="1" s="1"/>
  <c r="G17" i="1"/>
  <c r="H17" i="1" s="1"/>
  <c r="G13" i="1"/>
  <c r="H13" i="1" s="1"/>
  <c r="G9" i="1"/>
  <c r="G81" i="1"/>
  <c r="H81" i="1" s="1"/>
  <c r="G76" i="1"/>
  <c r="H76" i="1" s="1"/>
  <c r="G70" i="1"/>
  <c r="H70" i="1" s="1"/>
  <c r="G58" i="1"/>
  <c r="H58" i="1" s="1"/>
  <c r="G53" i="1"/>
  <c r="H53" i="1" s="1"/>
  <c r="G49" i="1"/>
  <c r="H49" i="1" s="1"/>
  <c r="G44" i="1"/>
  <c r="H44" i="1" s="1"/>
  <c r="G37" i="1"/>
  <c r="H37" i="1" s="1"/>
  <c r="G29" i="1"/>
  <c r="H29" i="1" s="1"/>
  <c r="G23" i="1"/>
  <c r="H23" i="1" s="1"/>
  <c r="G19" i="1"/>
  <c r="H19" i="1" s="1"/>
  <c r="G15" i="1"/>
  <c r="H15" i="1" s="1"/>
  <c r="G11" i="1"/>
  <c r="H11" i="1" s="1"/>
  <c r="G78" i="1"/>
  <c r="H78" i="1" s="1"/>
  <c r="G74" i="1"/>
  <c r="H74" i="1" s="1"/>
  <c r="G55" i="1"/>
  <c r="H55" i="1" s="1"/>
  <c r="G51" i="1"/>
  <c r="H51" i="1" s="1"/>
  <c r="G46" i="1"/>
  <c r="H46" i="1" s="1"/>
  <c r="G39" i="1"/>
  <c r="H39" i="1" s="1"/>
  <c r="G35" i="1"/>
  <c r="H35" i="1" s="1"/>
  <c r="G85" i="1"/>
  <c r="H85" i="1" s="1"/>
  <c r="G30" i="1"/>
  <c r="H30" i="1" s="1"/>
  <c r="G25" i="1"/>
  <c r="H25" i="1" s="1"/>
  <c r="G20" i="1"/>
  <c r="H20" i="1" s="1"/>
  <c r="G16" i="1"/>
  <c r="H16" i="1" s="1"/>
  <c r="G12" i="1"/>
  <c r="H12" i="1" s="1"/>
  <c r="G80" i="1"/>
  <c r="H80" i="1" s="1"/>
  <c r="G75" i="1"/>
  <c r="H75" i="1" s="1"/>
  <c r="G69" i="1"/>
  <c r="H69" i="1" s="1"/>
  <c r="G57" i="1"/>
  <c r="H57" i="1" s="1"/>
  <c r="G52" i="1"/>
  <c r="H52" i="1" s="1"/>
  <c r="G48" i="1"/>
  <c r="H48" i="1" s="1"/>
  <c r="G43" i="1"/>
  <c r="H43" i="1" s="1"/>
  <c r="G36" i="1"/>
  <c r="H36" i="1" s="1"/>
  <c r="G83" i="1"/>
  <c r="H83" i="1" s="1"/>
  <c r="G32" i="1"/>
  <c r="H32" i="1" s="1"/>
  <c r="G28" i="1"/>
  <c r="H28" i="1" s="1"/>
  <c r="G22" i="1"/>
  <c r="H22" i="1" s="1"/>
  <c r="G18" i="1"/>
  <c r="H18" i="1" s="1"/>
  <c r="G14" i="1"/>
  <c r="H14" i="1" s="1"/>
  <c r="G10" i="1"/>
  <c r="H10" i="1" s="1"/>
  <c r="G77" i="1"/>
  <c r="H77" i="1" s="1"/>
  <c r="G73" i="1"/>
  <c r="H73" i="1" s="1"/>
  <c r="G71" i="1"/>
  <c r="H71" i="1" s="1"/>
  <c r="G59" i="1"/>
  <c r="H59" i="1" s="1"/>
  <c r="G54" i="1"/>
  <c r="H54" i="1" s="1"/>
  <c r="G50" i="1"/>
  <c r="H50" i="1" s="1"/>
  <c r="G45" i="1"/>
  <c r="H45" i="1" s="1"/>
  <c r="H9" i="1" l="1"/>
  <c r="J5" i="1"/>
</calcChain>
</file>

<file path=xl/sharedStrings.xml><?xml version="1.0" encoding="utf-8"?>
<sst xmlns="http://schemas.openxmlformats.org/spreadsheetml/2006/main" count="587" uniqueCount="235">
  <si>
    <t>AC CB labelling</t>
  </si>
  <si>
    <t>Antenna serial number</t>
  </si>
  <si>
    <t>DC CB labelling</t>
  </si>
  <si>
    <t>G</t>
  </si>
  <si>
    <t>Power</t>
  </si>
  <si>
    <t>RBS</t>
  </si>
  <si>
    <t>RBS subrack</t>
  </si>
  <si>
    <t>Transmission</t>
  </si>
  <si>
    <t>Earthing</t>
  </si>
  <si>
    <t>DC</t>
  </si>
  <si>
    <t>Cabinet/shelter main earth connection</t>
  </si>
  <si>
    <t>Tower earth finial lightning arrestor</t>
  </si>
  <si>
    <t>GPS</t>
  </si>
  <si>
    <t>Overall picture of compound taken from tower</t>
  </si>
  <si>
    <t>DC cabling - heat shrink in accordance with NBN standards</t>
  </si>
  <si>
    <t>Signage</t>
  </si>
  <si>
    <t>1800 Sign</t>
  </si>
  <si>
    <t>Air conditioners and outdoor unit (Splits)</t>
  </si>
  <si>
    <t>Construction</t>
  </si>
  <si>
    <t>Site structure overall</t>
  </si>
  <si>
    <t>Externals</t>
  </si>
  <si>
    <t>Internals</t>
  </si>
  <si>
    <t>Meter reading during measurement of earth test resistance</t>
  </si>
  <si>
    <t>C</t>
  </si>
  <si>
    <t>Completed foundation prior to erection of new structure (Tower)</t>
  </si>
  <si>
    <t>R</t>
  </si>
  <si>
    <t>I</t>
  </si>
  <si>
    <t>Heading</t>
  </si>
  <si>
    <t>Greenfield</t>
  </si>
  <si>
    <t>Co-Lo</t>
  </si>
  <si>
    <t>Rooftop</t>
  </si>
  <si>
    <t>In-Situ</t>
  </si>
  <si>
    <t>Site Type</t>
  </si>
  <si>
    <t>Photo Required</t>
  </si>
  <si>
    <t>Yes</t>
  </si>
  <si>
    <t>No</t>
  </si>
  <si>
    <t>N/A</t>
  </si>
  <si>
    <t>Comment Required if No or N/A</t>
  </si>
  <si>
    <t>Site Name</t>
  </si>
  <si>
    <t>Site Number</t>
  </si>
  <si>
    <t>Cluster</t>
  </si>
  <si>
    <t>Feeders</t>
  </si>
  <si>
    <t>RF Sectors</t>
  </si>
  <si>
    <t>uWave Links</t>
  </si>
  <si>
    <t>Rfstart</t>
  </si>
  <si>
    <t>uWaveStart</t>
  </si>
  <si>
    <t/>
  </si>
  <si>
    <t>Attached ?</t>
  </si>
  <si>
    <t>eNodeB / Relay Photo Checklist</t>
  </si>
  <si>
    <t>Revision History</t>
  </si>
  <si>
    <t>Date</t>
  </si>
  <si>
    <t>Version</t>
  </si>
  <si>
    <t>Author</t>
  </si>
  <si>
    <t>Comments</t>
  </si>
  <si>
    <t>Reviewed By</t>
  </si>
  <si>
    <t>Workbook Instructions</t>
  </si>
  <si>
    <t>To run this spread sheet Macros need to be turned on.</t>
  </si>
  <si>
    <t>J Wood</t>
  </si>
  <si>
    <t>Select the Number of RF Sectors built</t>
  </si>
  <si>
    <t>Select the Number of uWave links built</t>
  </si>
  <si>
    <t>Complete Sections highlighted in green</t>
  </si>
  <si>
    <t>Checklist will auto populate with the required lists</t>
  </si>
  <si>
    <t>Manually insert the far ends of uWave links</t>
  </si>
  <si>
    <t>Manually insert the Site &amp; Cluster Details</t>
  </si>
  <si>
    <t>RBS subrack ACMA labelling</t>
  </si>
  <si>
    <t>V2.0</t>
  </si>
  <si>
    <t>Complete Update</t>
  </si>
  <si>
    <t>HIDDEN</t>
  </si>
  <si>
    <t>NSOC Site ID</t>
  </si>
  <si>
    <t>Site_Access</t>
  </si>
  <si>
    <t>Equipment_cabinet/shelter</t>
  </si>
  <si>
    <t>Earthing/Surge Protection</t>
  </si>
  <si>
    <t>RF</t>
  </si>
  <si>
    <t>Using the scroll wheel to select the type of site constructed</t>
  </si>
  <si>
    <t>Read Instructions Tab before using this Document</t>
  </si>
  <si>
    <t xml:space="preserve"> &gt; Excel Options &gt; Trust Centre &gt; Trust Centre Settings &gt; Macro Settings &gt; Enable All  Macros</t>
  </si>
  <si>
    <t>To turn on Macros goto windows icon on top left of excel screen</t>
  </si>
  <si>
    <t>V2.1</t>
  </si>
  <si>
    <t>J.Wood</t>
  </si>
  <si>
    <t>Add Instructions</t>
  </si>
  <si>
    <r>
      <rPr>
        <b/>
        <u/>
        <sz val="12"/>
        <color theme="1"/>
        <rFont val="Calibri"/>
        <family val="2"/>
        <scheme val="minor"/>
      </rPr>
      <t>Do Not</t>
    </r>
    <r>
      <rPr>
        <b/>
        <sz val="11"/>
        <color theme="1"/>
        <rFont val="Calibri"/>
        <family val="2"/>
        <scheme val="minor"/>
      </rPr>
      <t xml:space="preserve"> manually add any rows or columns to the spreadsheet</t>
    </r>
  </si>
  <si>
    <t>V2.2</t>
  </si>
  <si>
    <t>Clarify Feeder / Earth labelling</t>
  </si>
  <si>
    <t>Feeder earth connection at lower earth bar</t>
  </si>
  <si>
    <t>Feeder labelling shelter / SSC-02 entry (gland plate)</t>
  </si>
  <si>
    <r>
      <t>3.2</t>
    </r>
    <r>
      <rPr>
        <b/>
        <sz val="7"/>
        <color rgb="FFD47600"/>
        <rFont val="Times New Roman"/>
        <family val="1"/>
      </rPr>
      <t xml:space="preserve">       </t>
    </r>
    <r>
      <rPr>
        <b/>
        <sz val="14"/>
        <color rgb="FFD47600"/>
        <rFont val="Arial"/>
        <family val="2"/>
      </rPr>
      <t>Image Quality</t>
    </r>
  </si>
  <si>
    <t>All photographs must have a specific subject, for example, a label attached to a rack or installation of the trays inside the racks. The subject of all photographs should be:</t>
  </si>
  <si>
    <r>
      <t>·</t>
    </r>
    <r>
      <rPr>
        <sz val="7"/>
        <color theme="1"/>
        <rFont val="Times New Roman"/>
        <family val="1"/>
      </rPr>
      <t xml:space="preserve">         </t>
    </r>
    <r>
      <rPr>
        <sz val="10"/>
        <color theme="1"/>
        <rFont val="Arial"/>
        <family val="2"/>
      </rPr>
      <t>In focus</t>
    </r>
  </si>
  <si>
    <r>
      <t>·</t>
    </r>
    <r>
      <rPr>
        <sz val="7"/>
        <color theme="1"/>
        <rFont val="Times New Roman"/>
        <family val="1"/>
      </rPr>
      <t xml:space="preserve">         </t>
    </r>
    <r>
      <rPr>
        <sz val="10"/>
        <color theme="1"/>
        <rFont val="Arial"/>
        <family val="2"/>
      </rPr>
      <t>Obvious, large enough to see, and with sufficient background for identification purposes</t>
    </r>
  </si>
  <si>
    <r>
      <t>·</t>
    </r>
    <r>
      <rPr>
        <sz val="7"/>
        <color theme="1"/>
        <rFont val="Times New Roman"/>
        <family val="1"/>
      </rPr>
      <t xml:space="preserve">         </t>
    </r>
    <r>
      <rPr>
        <sz val="10"/>
        <color theme="1"/>
        <rFont val="Arial"/>
        <family val="2"/>
      </rPr>
      <t>Not shadowed or obscured by other objects</t>
    </r>
  </si>
  <si>
    <r>
      <t>·</t>
    </r>
    <r>
      <rPr>
        <sz val="7"/>
        <color theme="1"/>
        <rFont val="Times New Roman"/>
        <family val="1"/>
      </rPr>
      <t xml:space="preserve">         </t>
    </r>
    <r>
      <rPr>
        <sz val="10"/>
        <color theme="1"/>
        <rFont val="Arial"/>
        <family val="2"/>
      </rPr>
      <t>Not containing persons or other subjects</t>
    </r>
  </si>
  <si>
    <r>
      <t>·</t>
    </r>
    <r>
      <rPr>
        <sz val="7"/>
        <color theme="1"/>
        <rFont val="Times New Roman"/>
        <family val="1"/>
      </rPr>
      <t xml:space="preserve">         </t>
    </r>
    <r>
      <rPr>
        <sz val="10"/>
        <color theme="1"/>
        <rFont val="Arial"/>
        <family val="2"/>
      </rPr>
      <t>Sufficiently illuminated, preferably with ambient light</t>
    </r>
  </si>
  <si>
    <r>
      <t>·</t>
    </r>
    <r>
      <rPr>
        <sz val="7"/>
        <color theme="1"/>
        <rFont val="Times New Roman"/>
        <family val="1"/>
      </rPr>
      <t xml:space="preserve">         </t>
    </r>
    <r>
      <rPr>
        <sz val="10"/>
        <color theme="1"/>
        <rFont val="Arial"/>
        <family val="2"/>
      </rPr>
      <t>Straight on to the camera</t>
    </r>
  </si>
  <si>
    <r>
      <t>·</t>
    </r>
    <r>
      <rPr>
        <sz val="7"/>
        <color theme="1"/>
        <rFont val="Times New Roman"/>
        <family val="1"/>
      </rPr>
      <t xml:space="preserve">         </t>
    </r>
    <r>
      <rPr>
        <sz val="10"/>
        <color theme="1"/>
        <rFont val="Arial"/>
        <family val="2"/>
      </rPr>
      <t>Vertically and horizontally aligned with the photograph edges</t>
    </r>
  </si>
  <si>
    <r>
      <t>·</t>
    </r>
    <r>
      <rPr>
        <sz val="7"/>
        <color theme="1"/>
        <rFont val="Times New Roman"/>
        <family val="1"/>
      </rPr>
      <t xml:space="preserve">         </t>
    </r>
    <r>
      <rPr>
        <sz val="10"/>
        <color theme="1"/>
        <rFont val="Arial"/>
        <family val="2"/>
      </rPr>
      <t>Legible, particularly if containing text such as labels and serial numbers</t>
    </r>
  </si>
  <si>
    <t>A sufficient quantity of the background to the subject must also be visible to identify it, for example, the cable to which a label is attached, or racks in which the cable trays are installed. A visible stamp must also be included to show the date and time of the photograph.</t>
  </si>
  <si>
    <r>
      <t xml:space="preserve">Contractors must supply digital photograph files which conform to </t>
    </r>
    <r>
      <rPr>
        <i/>
        <sz val="10"/>
        <rFont val="Arial"/>
        <family val="2"/>
      </rPr>
      <t>Table 1 – Digital Photograph Specification</t>
    </r>
    <r>
      <rPr>
        <sz val="10"/>
        <color theme="1"/>
        <rFont val="Arial"/>
        <family val="2"/>
      </rPr>
      <t xml:space="preserve"> below. For information about parameters in the table, see </t>
    </r>
    <r>
      <rPr>
        <i/>
        <sz val="10"/>
        <color theme="1"/>
        <rFont val="Arial"/>
        <family val="2"/>
      </rPr>
      <t>Appendix A – Key Terms</t>
    </r>
    <r>
      <rPr>
        <sz val="10"/>
        <color theme="1"/>
        <rFont val="Arial"/>
        <family val="2"/>
      </rPr>
      <t>.</t>
    </r>
  </si>
  <si>
    <t>Parameter</t>
  </si>
  <si>
    <t>Specification</t>
  </si>
  <si>
    <t>Image Size</t>
  </si>
  <si>
    <t>1024 x 768 pixels</t>
  </si>
  <si>
    <t>Image Resolution</t>
  </si>
  <si>
    <t>72 dpi horizontal and vertical</t>
  </si>
  <si>
    <t>Image Bit Depth</t>
  </si>
  <si>
    <t>24 bits</t>
  </si>
  <si>
    <t>Image Aspect Ratio</t>
  </si>
  <si>
    <t>4:3 (horizontal rectangle) – all items except rack</t>
  </si>
  <si>
    <t>3:4 (vertical rectangle) – all racks</t>
  </si>
  <si>
    <t>File Size</t>
  </si>
  <si>
    <t>Less than 500 kb</t>
  </si>
  <si>
    <t>File Format</t>
  </si>
  <si>
    <t>JPEG</t>
  </si>
  <si>
    <t>File Name</t>
  </si>
  <si>
    <t>File (Exif) information</t>
  </si>
  <si>
    <t>Correct date and time included.</t>
  </si>
  <si>
    <t>Visible time/date stamp</t>
  </si>
  <si>
    <t>Included</t>
  </si>
  <si>
    <t>GPS Metadata</t>
  </si>
  <si>
    <t>Table 1 – Digital Photograph Specification</t>
  </si>
  <si>
    <r>
      <t xml:space="preserve">A digital camera with the specifications summarised in </t>
    </r>
    <r>
      <rPr>
        <i/>
        <sz val="10"/>
        <rFont val="Arial"/>
        <family val="2"/>
      </rPr>
      <t>Table 2 – Camera Recommendation</t>
    </r>
    <r>
      <rPr>
        <sz val="10"/>
        <color theme="1"/>
        <rFont val="Arial"/>
        <family val="2"/>
      </rPr>
      <t xml:space="preserve"> is recommended to take the photographs. Larger and more complex cameras with separate lenses are not required.</t>
    </r>
  </si>
  <si>
    <t>Recommendation</t>
  </si>
  <si>
    <t>Format</t>
  </si>
  <si>
    <t>Digital camera (compact model recommended)</t>
  </si>
  <si>
    <t>Resolution</t>
  </si>
  <si>
    <t>At least 3 megapixels</t>
  </si>
  <si>
    <t>Flash</t>
  </si>
  <si>
    <t>Required</t>
  </si>
  <si>
    <t>GPS Tagging</t>
  </si>
  <si>
    <t>Enabled</t>
  </si>
  <si>
    <t>Table 2 – Camera Recommendation</t>
  </si>
  <si>
    <t>Use the following good practices to help ensure good image quality:</t>
  </si>
  <si>
    <r>
      <t>·</t>
    </r>
    <r>
      <rPr>
        <sz val="7"/>
        <color theme="1"/>
        <rFont val="Times New Roman"/>
        <family val="1"/>
      </rPr>
      <t xml:space="preserve">         </t>
    </r>
    <r>
      <rPr>
        <sz val="10"/>
        <color theme="1"/>
        <rFont val="Arial"/>
        <family val="2"/>
      </rPr>
      <t>Ensure the battery is kept charged and a spare battery or charger taken on site so that photographs can be taken during installation without requiring a return visit.</t>
    </r>
  </si>
  <si>
    <r>
      <t>·</t>
    </r>
    <r>
      <rPr>
        <sz val="7"/>
        <color theme="1"/>
        <rFont val="Times New Roman"/>
        <family val="1"/>
      </rPr>
      <t xml:space="preserve">         </t>
    </r>
    <r>
      <rPr>
        <sz val="10"/>
        <color theme="1"/>
        <rFont val="Arial"/>
        <family val="2"/>
      </rPr>
      <t>Ensure the memory card has sufficient space and/or take a spare memory card.</t>
    </r>
  </si>
  <si>
    <r>
      <t>·</t>
    </r>
    <r>
      <rPr>
        <sz val="7"/>
        <color theme="1"/>
        <rFont val="Times New Roman"/>
        <family val="1"/>
      </rPr>
      <t xml:space="preserve">         </t>
    </r>
    <r>
      <rPr>
        <sz val="10"/>
        <color theme="1"/>
        <rFont val="Arial"/>
        <family val="2"/>
      </rPr>
      <t>Keep the lens clean.</t>
    </r>
  </si>
  <si>
    <r>
      <t>·</t>
    </r>
    <r>
      <rPr>
        <sz val="7"/>
        <color theme="1"/>
        <rFont val="Times New Roman"/>
        <family val="1"/>
      </rPr>
      <t xml:space="preserve">         </t>
    </r>
    <r>
      <rPr>
        <sz val="10"/>
        <color theme="1"/>
        <rFont val="Arial"/>
        <family val="2"/>
      </rPr>
      <t>Do not shoot into bright light.</t>
    </r>
  </si>
  <si>
    <r>
      <t>·</t>
    </r>
    <r>
      <rPr>
        <sz val="7"/>
        <color theme="1"/>
        <rFont val="Times New Roman"/>
        <family val="1"/>
      </rPr>
      <t xml:space="preserve">         </t>
    </r>
    <r>
      <rPr>
        <sz val="10"/>
        <color theme="1"/>
        <rFont val="Arial"/>
        <family val="2"/>
      </rPr>
      <t>Use available anti-shake settings and keep the camera steady.</t>
    </r>
  </si>
  <si>
    <r>
      <t>·</t>
    </r>
    <r>
      <rPr>
        <sz val="7"/>
        <color theme="1"/>
        <rFont val="Times New Roman"/>
        <family val="1"/>
      </rPr>
      <t xml:space="preserve">         </t>
    </r>
    <r>
      <rPr>
        <sz val="10"/>
        <color theme="1"/>
        <rFont val="Arial"/>
        <family val="2"/>
      </rPr>
      <t>Use spot focus for small subjects, and area focus for larger subjects to ensure the subject is always in focus.</t>
    </r>
  </si>
  <si>
    <r>
      <t>·</t>
    </r>
    <r>
      <rPr>
        <sz val="7"/>
        <color theme="1"/>
        <rFont val="Times New Roman"/>
        <family val="1"/>
      </rPr>
      <t xml:space="preserve">         </t>
    </r>
    <r>
      <rPr>
        <sz val="10"/>
        <color theme="1"/>
        <rFont val="Arial"/>
        <family val="2"/>
      </rPr>
      <t>Use macro or close-up setting for close or small subjects.</t>
    </r>
  </si>
  <si>
    <r>
      <t>·</t>
    </r>
    <r>
      <rPr>
        <sz val="7"/>
        <color theme="1"/>
        <rFont val="Times New Roman"/>
        <family val="1"/>
      </rPr>
      <t xml:space="preserve">         </t>
    </r>
    <r>
      <rPr>
        <sz val="10"/>
        <color theme="1"/>
        <rFont val="Arial"/>
        <family val="2"/>
      </rPr>
      <t>Use natural light in preference to flash where possible.</t>
    </r>
  </si>
  <si>
    <r>
      <t>·</t>
    </r>
    <r>
      <rPr>
        <sz val="7"/>
        <color theme="1"/>
        <rFont val="Times New Roman"/>
        <family val="1"/>
      </rPr>
      <t xml:space="preserve">         </t>
    </r>
    <r>
      <rPr>
        <sz val="10"/>
        <color theme="1"/>
        <rFont val="Arial"/>
        <family val="2"/>
      </rPr>
      <t>Set the correct light setting such as daylight or fluorescent and take an initial test photo before taking a series of photos in the same light conditions.</t>
    </r>
  </si>
  <si>
    <r>
      <t>·</t>
    </r>
    <r>
      <rPr>
        <sz val="7"/>
        <color theme="1"/>
        <rFont val="Times New Roman"/>
        <family val="1"/>
      </rPr>
      <t xml:space="preserve">         </t>
    </r>
    <r>
      <rPr>
        <sz val="10"/>
        <color theme="1"/>
        <rFont val="Arial"/>
        <family val="2"/>
      </rPr>
      <t>Review each image after it is taken to ensure it is of sufficient quality.</t>
    </r>
  </si>
  <si>
    <r>
      <t>·</t>
    </r>
    <r>
      <rPr>
        <sz val="7"/>
        <color theme="1"/>
        <rFont val="Times New Roman"/>
        <family val="1"/>
      </rPr>
      <t xml:space="preserve">         </t>
    </r>
    <r>
      <rPr>
        <sz val="10"/>
        <color theme="1"/>
        <rFont val="Arial"/>
        <family val="2"/>
      </rPr>
      <t>During long installation procedures, either periodically take photographs or use a checklist to ensure that no required subject is missed.</t>
    </r>
  </si>
  <si>
    <r>
      <t>·</t>
    </r>
    <r>
      <rPr>
        <sz val="7"/>
        <color theme="1"/>
        <rFont val="Times New Roman"/>
        <family val="1"/>
      </rPr>
      <t xml:space="preserve">         </t>
    </r>
    <r>
      <rPr>
        <sz val="10"/>
        <color theme="1"/>
        <rFont val="Arial"/>
        <family val="2"/>
      </rPr>
      <t>Photograph a labelled subject at the beginning of a series of photographs to confirm its identity, or photograph a written sign if the item is not labelled.</t>
    </r>
  </si>
  <si>
    <r>
      <t xml:space="preserve">Avoid the following problems, some of which are shown in </t>
    </r>
    <r>
      <rPr>
        <i/>
        <sz val="10"/>
        <color theme="1"/>
        <rFont val="Arial"/>
        <family val="2"/>
      </rPr>
      <t>Figure 1 – Acceptable and Unacceptable Images</t>
    </r>
    <r>
      <rPr>
        <sz val="10"/>
        <color theme="1"/>
        <rFont val="Arial"/>
        <family val="2"/>
      </rPr>
      <t>:</t>
    </r>
  </si>
  <si>
    <r>
      <t>·</t>
    </r>
    <r>
      <rPr>
        <sz val="7"/>
        <color theme="1"/>
        <rFont val="Times New Roman"/>
        <family val="1"/>
      </rPr>
      <t xml:space="preserve">         </t>
    </r>
    <r>
      <rPr>
        <sz val="10"/>
        <color theme="1"/>
        <rFont val="Arial"/>
        <family val="2"/>
      </rPr>
      <t>Over exposure – image too light or “washed out”.</t>
    </r>
  </si>
  <si>
    <r>
      <t>·</t>
    </r>
    <r>
      <rPr>
        <sz val="7"/>
        <color theme="1"/>
        <rFont val="Times New Roman"/>
        <family val="1"/>
      </rPr>
      <t xml:space="preserve">         </t>
    </r>
    <r>
      <rPr>
        <sz val="10"/>
        <color theme="1"/>
        <rFont val="Arial"/>
        <family val="2"/>
      </rPr>
      <t>Under exposure – image too dark or obscured.</t>
    </r>
  </si>
  <si>
    <r>
      <t>·</t>
    </r>
    <r>
      <rPr>
        <sz val="7"/>
        <color theme="1"/>
        <rFont val="Times New Roman"/>
        <family val="1"/>
      </rPr>
      <t xml:space="preserve">         </t>
    </r>
    <r>
      <rPr>
        <sz val="10"/>
        <color theme="1"/>
        <rFont val="Arial"/>
        <family val="2"/>
      </rPr>
      <t>Flash reflections – from shiny items such as metal or glass.</t>
    </r>
  </si>
  <si>
    <r>
      <t>·</t>
    </r>
    <r>
      <rPr>
        <sz val="7"/>
        <color theme="1"/>
        <rFont val="Times New Roman"/>
        <family val="1"/>
      </rPr>
      <t xml:space="preserve">         </t>
    </r>
    <r>
      <rPr>
        <sz val="10"/>
        <color theme="1"/>
        <rFont val="Arial"/>
        <family val="2"/>
      </rPr>
      <t>Incorrect colour balance – due to wrong setting such as fluorescent light setting in daylight, or daylight setting in fluorescent light.</t>
    </r>
  </si>
  <si>
    <r>
      <t>·</t>
    </r>
    <r>
      <rPr>
        <sz val="7"/>
        <color theme="1"/>
        <rFont val="Times New Roman"/>
        <family val="1"/>
      </rPr>
      <t xml:space="preserve">         </t>
    </r>
    <r>
      <rPr>
        <sz val="10"/>
        <color theme="1"/>
        <rFont val="Arial"/>
        <family val="2"/>
      </rPr>
      <t>Pixellation – may be caused by use of digital rather than optical zoom.</t>
    </r>
  </si>
  <si>
    <r>
      <t>·</t>
    </r>
    <r>
      <rPr>
        <sz val="7"/>
        <color theme="1"/>
        <rFont val="Times New Roman"/>
        <family val="1"/>
      </rPr>
      <t xml:space="preserve">         </t>
    </r>
    <r>
      <rPr>
        <sz val="10"/>
        <color theme="1"/>
        <rFont val="Arial"/>
        <family val="2"/>
      </rPr>
      <t>Fluorescent light artefacts – lines or bars due to light strobe frequency.</t>
    </r>
  </si>
  <si>
    <t>Figure 1 – Acceptable and Unacceptable Images</t>
  </si>
  <si>
    <t>V2.3</t>
  </si>
  <si>
    <t>Add Image Requirements</t>
  </si>
  <si>
    <t>Extract from NBN-NO-GDE-0024 (V0.02 Draft)</t>
  </si>
  <si>
    <t>QA Process and Work Instructions</t>
  </si>
  <si>
    <r>
      <t>Latitude and longitude included if the Global Positioning System (GPS) signal available.</t>
    </r>
    <r>
      <rPr>
        <sz val="12"/>
        <color rgb="FFFF0000"/>
        <rFont val="Arial"/>
        <family val="2"/>
      </rPr>
      <t>*</t>
    </r>
  </si>
  <si>
    <r>
      <t xml:space="preserve">Included (only for site access photographs) </t>
    </r>
    <r>
      <rPr>
        <sz val="12"/>
        <color rgb="FFFF0000"/>
        <rFont val="Arial"/>
        <family val="2"/>
      </rPr>
      <t>*</t>
    </r>
  </si>
  <si>
    <r>
      <t xml:space="preserve">As specified in </t>
    </r>
    <r>
      <rPr>
        <strike/>
        <sz val="9"/>
        <color theme="1"/>
        <rFont val="Arial"/>
        <family val="2"/>
      </rPr>
      <t>section</t>
    </r>
    <r>
      <rPr>
        <i/>
        <strike/>
        <sz val="9"/>
        <color theme="1"/>
        <rFont val="Arial"/>
        <family val="2"/>
      </rPr>
      <t xml:space="preserve"> 3.3 Image Naming</t>
    </r>
    <r>
      <rPr>
        <i/>
        <sz val="12"/>
        <color rgb="FFFF0000"/>
        <rFont val="Arial"/>
        <family val="2"/>
      </rPr>
      <t xml:space="preserve"> PhotosTab</t>
    </r>
  </si>
  <si>
    <r>
      <rPr>
        <sz val="12"/>
        <color rgb="FFFF0000"/>
        <rFont val="Calibri"/>
        <family val="2"/>
        <scheme val="minor"/>
      </rPr>
      <t>*</t>
    </r>
    <r>
      <rPr>
        <sz val="11"/>
        <color theme="1"/>
        <rFont val="Calibri"/>
        <family val="2"/>
        <scheme val="minor"/>
      </rPr>
      <t xml:space="preserve"> Not Required for eNodeB or Core Network site pictures.</t>
    </r>
  </si>
  <si>
    <t>The Information contained in the latest CNI document (when updated) will supersede this Excel document.  It is the contractors responsibility to ensure the latest version (with respect to photo quality &amp; specifications) is used, this should be checked regularly and is available on Sharepoint at the link below.</t>
  </si>
  <si>
    <r>
      <rPr>
        <b/>
        <u/>
        <sz val="11"/>
        <color theme="1"/>
        <rFont val="Calibri"/>
        <family val="2"/>
        <scheme val="minor"/>
      </rPr>
      <t>Ensure</t>
    </r>
    <r>
      <rPr>
        <sz val="11"/>
        <color theme="1"/>
        <rFont val="Calibri"/>
        <family val="2"/>
        <scheme val="minor"/>
      </rPr>
      <t xml:space="preserve"> that all Photo standards are adhered to.
Standards for all photos are located on the </t>
    </r>
    <r>
      <rPr>
        <b/>
        <u/>
        <sz val="11"/>
        <color theme="1"/>
        <rFont val="Calibri"/>
        <family val="2"/>
        <scheme val="minor"/>
      </rPr>
      <t>Image Req</t>
    </r>
    <r>
      <rPr>
        <sz val="11"/>
        <color theme="1"/>
        <rFont val="Calibri"/>
        <family val="2"/>
        <scheme val="minor"/>
      </rPr>
      <t xml:space="preserve"> tab.  Ensure you read and understand the requirements.</t>
    </r>
  </si>
  <si>
    <t>Image Req</t>
  </si>
  <si>
    <t>Pre construction site photo. i.e. Site photo prior to commencement of work, compound or lease area marked out/pegged</t>
  </si>
  <si>
    <t>Completed excavated structure footing (Tower) Showing shoring if required, noted on drawing or deeper than 1.5M with or without base screen.</t>
  </si>
  <si>
    <t>Cage nuts under pole base plate with template in place (prior to positioning of pole base section) jacking nuts in place and level just prior to structure erection.</t>
  </si>
  <si>
    <t>Hold down nuts (&amp; lock nuts) installed on structure/mount base &amp; drainage holes. Showing finished grouting and all drains. Photo from Earth lug connection in clockwise direction sector 1</t>
  </si>
  <si>
    <t>Hold down nuts (&amp; lock nuts) installed on structure/mount base &amp; drainage holes. Showing finished grouting and all drains. Photo of sector 2</t>
  </si>
  <si>
    <t>Hold down nuts (&amp; lock nuts) installed on structure/mount base &amp; drainage holes. Showing finished grouting and all drains. Photo of sector 3</t>
  </si>
  <si>
    <t>Installed Foundation/under slab Mechanial connection or Cadweld to be visible &amp; not taped. For mechanical connection ensure corrosion free joint can be viewed e.g. Rebar ground ,earth plate.</t>
  </si>
  <si>
    <t>Aircraft warning light including mount &amp; cable at headframe (where applicable</t>
  </si>
  <si>
    <t>Gate or access point to NBN Site access track at main (public) road intersection point</t>
  </si>
  <si>
    <t>All site access gates including gates on access track if an lock is fitted</t>
  </si>
  <si>
    <t>Site compound overall</t>
  </si>
  <si>
    <t>Anticlimb device where installed and lockable. Ladder hooks not included</t>
  </si>
  <si>
    <t>AC Power meterbox external view font door closed lock on</t>
  </si>
  <si>
    <t>AC Power distribution box internal view including mudmap of AC main power feed</t>
  </si>
  <si>
    <t>Power Authority meter box door open if separate to NBN distribution box</t>
  </si>
  <si>
    <t>Power access generator input external including location</t>
  </si>
  <si>
    <t>RFNSA signage on comp gate, stamp/perm marker, number to be legible</t>
  </si>
  <si>
    <t>EME / MERCS &amp; Ladder restriction signage</t>
  </si>
  <si>
    <t>Ladsaf / anchor point tags</t>
  </si>
  <si>
    <t>Site Earth Bar (SEB) under SSC 02 cabinet. Ensure labels visible and legible</t>
  </si>
  <si>
    <t>Waterfall Earth Bar</t>
  </si>
  <si>
    <t>Tower earth lightning down conductor connection top and bottom</t>
  </si>
  <si>
    <t>Tower base earth connection from earth ferrule to soil entry point</t>
  </si>
  <si>
    <t>Antenna, Feeder Label &amp; Bird proofing,Labels to be visible and legible</t>
  </si>
  <si>
    <t>Internal door fully open overall showing all sub rack elements including HEX &amp; door switch cabling</t>
  </si>
  <si>
    <t>GPS receiver</t>
  </si>
  <si>
    <t>Aircraft warning light controller &amp; terminations (where applicable)</t>
  </si>
  <si>
    <t>OSR (Optical Subtrack) over all with label</t>
  </si>
  <si>
    <t>DC distribution all CBs must be visible</t>
  </si>
  <si>
    <t>Internal earthing RHS cable vertical</t>
  </si>
  <si>
    <t>RRU overall typical all connections, labels, weather and bird proofing to be visible</t>
  </si>
  <si>
    <t>Panel Antenna - showing tail labelling, bird proofing &amp; waterproofing, labels must be legible, Left hand view</t>
  </si>
  <si>
    <t>Panel Antenna - showing tail labelling, bird proofing &amp; waterproofing, labels must be legible, Right hand view</t>
  </si>
  <si>
    <t>Panel antenna - RF path view, from behind antenna</t>
  </si>
  <si>
    <t>Panel Antenna Tilt Brackets (to verify antenna tilts)</t>
  </si>
  <si>
    <t>Microwave mounting steel showing all fixings, including mounting pipe</t>
  </si>
  <si>
    <t>Microwave mount azimuth arm &gt;=1200 Dish</t>
  </si>
  <si>
    <t>Internal of optical subrack (OSR), door down, fibre patch leads visible with TX and RX labels on fibre patch leads visible</t>
  </si>
  <si>
    <t>70mm² G/Y connection from SEB at electrode before application of Denso, tape or PVC sleeve, Earth System mid-span connection points,IE: H frame, cable gantry, tower earth ,between 3 to 4 photos as required based on site earth design.</t>
  </si>
  <si>
    <t>Site access track, drains / culverts (where installed) *NB photo/s must match FC. If multiple drains/culverts exist, multiple pictures required. Should include a photo of each new culvert. If we've installed it a photo is required. All new or upgraded site access tracks built as per design photo every 100m or from each intersection from the track heading towards the site</t>
  </si>
  <si>
    <t>Microwave earth mount (1 photo required for each RAU, as per site design</t>
  </si>
  <si>
    <t>RRU  earth connection at structure(for each sector)</t>
  </si>
  <si>
    <t>RAU Underside</t>
  </si>
  <si>
    <t>AC/Surge protection drawer overall</t>
  </si>
  <si>
    <t>V2.4</t>
  </si>
  <si>
    <t>B.Murray</t>
  </si>
  <si>
    <t>Microwave RAU Serial No, Model &amp; Revision</t>
  </si>
  <si>
    <t>TXN fibre management LHS cable vertical - fibre protection</t>
  </si>
  <si>
    <t>Microwave / TXN subrack</t>
  </si>
  <si>
    <t>Microwave ACMA labelling</t>
  </si>
  <si>
    <t>Mircowave subrack fibre input</t>
  </si>
  <si>
    <t>Update to align with Ericsson Golden Photo pack V1.0. Macros corrected</t>
  </si>
  <si>
    <t>Feeder earth connection at top earth bar. Ensure all IF feeders/H&amp;S earths up the tower are captured. If the H&amp;S or IF cable is not earthed to an upper bar then a photo of each feeder earth is also required.</t>
  </si>
  <si>
    <t>V2.5</t>
  </si>
  <si>
    <t>A. Wilson</t>
  </si>
  <si>
    <t>Concrete being poured and vibrated during pour (Tower), no partial shots (must be complete foundation) In the situation of multiple pours, one photo per pour must be supplied, close up photo of rebar and cage installed required between pours.</t>
  </si>
  <si>
    <t xml:space="preserve">Installed earth system including: Photo of each trench prior to backfill of excavation (4 photos);
Photo of all earth electrodes as per site earthing design (one photo per electrode required).
Where possible showing both the electrode and adjoining earth cable joins.  </t>
  </si>
  <si>
    <t>Overall equipment cabinet / shelter Door closed. Photo required of raised platform if installed</t>
  </si>
  <si>
    <t>Reinforcing in place prior to concrete pour (Tower) including tower cage, no partial shots (must be complete foundation) Close up photo of rebar and cage in place for bored pier</t>
  </si>
  <si>
    <t>Construction 11 removed
Aligned with Golden Photo Pack 2/1791-FCP 121 6972 Uen Revision: "A".</t>
  </si>
  <si>
    <t>ASP Responsible</t>
  </si>
  <si>
    <t>Civil</t>
  </si>
  <si>
    <t>ICIO</t>
  </si>
  <si>
    <t>CIVIL</t>
  </si>
  <si>
    <t>V3.0</t>
  </si>
  <si>
    <t>Pre-Construction Electrical conduit trench line</t>
  </si>
  <si>
    <t>Post-Construction Electrical conduit trench line</t>
  </si>
  <si>
    <t>uWave_xx_facing_SiteName</t>
  </si>
  <si>
    <t>CIVIL / ICIO</t>
  </si>
  <si>
    <t>RF safety compliance photo showing close-up of final RF/TX equipment installation on structure</t>
  </si>
  <si>
    <t>Update to align with Ericsson Golden Photo pack V2.1
Site Access_08, Power_06 &amp; Power_07 added</t>
  </si>
  <si>
    <t>Close up of Daisy Chain showing NBN and Pl lock for all Site Access 2 photos</t>
  </si>
  <si>
    <t>2A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</si>
</sst>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800]dddd\,\ mmmm\ dd\,\ yyyy"/>
    <numFmt numFmtId="165" formatCode="d/mm/yy;@"/>
  </numFmts>
  <fonts count="36" x14ac:knownFonts="1">
    <font>
      <sz val="11"/>
      <color theme="1"/>
      <name val="Calibri"/>
      <family val="2"/>
      <scheme val="minor"/>
    </font>
    <font>
      <b/>
      <sz val="11"/>
      <color theme="1"/>
      <name val="Calibri"/>
      <family val="2"/>
      <scheme val="minor"/>
    </font>
    <font>
      <sz val="11"/>
      <color theme="0"/>
      <name val="Calibri"/>
      <family val="2"/>
      <scheme val="minor"/>
    </font>
    <font>
      <b/>
      <sz val="18"/>
      <color theme="1"/>
      <name val="Calibri"/>
      <family val="2"/>
      <scheme val="minor"/>
    </font>
    <font>
      <b/>
      <sz val="12"/>
      <color theme="1"/>
      <name val="Calibri"/>
      <family val="2"/>
      <scheme val="minor"/>
    </font>
    <font>
      <b/>
      <sz val="14"/>
      <color theme="9" tint="-0.499984740745262"/>
      <name val="Calibri"/>
      <family val="2"/>
      <scheme val="minor"/>
    </font>
    <font>
      <b/>
      <sz val="14"/>
      <color theme="1"/>
      <name val="Calibri"/>
      <family val="2"/>
      <scheme val="minor"/>
    </font>
    <font>
      <sz val="12"/>
      <color theme="1"/>
      <name val="Calibri"/>
      <family val="2"/>
      <scheme val="minor"/>
    </font>
    <font>
      <b/>
      <sz val="28"/>
      <color theme="1"/>
      <name val="Calibri"/>
      <family val="2"/>
      <scheme val="minor"/>
    </font>
    <font>
      <b/>
      <sz val="12"/>
      <color theme="9" tint="-0.499984740745262"/>
      <name val="Calibri"/>
      <family val="2"/>
      <scheme val="minor"/>
    </font>
    <font>
      <sz val="11"/>
      <color theme="1"/>
      <name val="Calibri"/>
      <family val="2"/>
      <scheme val="minor"/>
    </font>
    <font>
      <b/>
      <u/>
      <sz val="12"/>
      <color theme="1"/>
      <name val="Calibri"/>
      <family val="2"/>
      <scheme val="minor"/>
    </font>
    <font>
      <sz val="11"/>
      <color rgb="FFFF0000"/>
      <name val="Calibri"/>
      <family val="2"/>
      <scheme val="minor"/>
    </font>
    <font>
      <b/>
      <sz val="26"/>
      <color theme="9" tint="-0.499984740745262"/>
      <name val="Calibri"/>
      <family val="2"/>
      <scheme val="minor"/>
    </font>
    <font>
      <sz val="26"/>
      <color rgb="FFFF0000"/>
      <name val="Calibri"/>
      <family val="2"/>
      <scheme val="minor"/>
    </font>
    <font>
      <sz val="28"/>
      <color rgb="FFFF0000"/>
      <name val="Calibri"/>
      <family val="2"/>
      <scheme val="minor"/>
    </font>
    <font>
      <b/>
      <sz val="12"/>
      <color rgb="FFFF0000"/>
      <name val="Calibri"/>
      <family val="2"/>
      <scheme val="minor"/>
    </font>
    <font>
      <sz val="16"/>
      <color theme="1"/>
      <name val="Calibri"/>
      <family val="2"/>
      <scheme val="minor"/>
    </font>
    <font>
      <b/>
      <sz val="14"/>
      <color rgb="FFD47600"/>
      <name val="Arial"/>
      <family val="2"/>
    </font>
    <font>
      <b/>
      <sz val="7"/>
      <color rgb="FFD47600"/>
      <name val="Times New Roman"/>
      <family val="1"/>
    </font>
    <font>
      <sz val="10"/>
      <color theme="1"/>
      <name val="Arial"/>
      <family val="2"/>
    </font>
    <font>
      <sz val="10"/>
      <color theme="1"/>
      <name val="Symbol"/>
      <family val="1"/>
      <charset val="2"/>
    </font>
    <font>
      <sz val="7"/>
      <color theme="1"/>
      <name val="Times New Roman"/>
      <family val="1"/>
    </font>
    <font>
      <i/>
      <sz val="10"/>
      <name val="Arial"/>
      <family val="2"/>
    </font>
    <font>
      <i/>
      <sz val="10"/>
      <color theme="1"/>
      <name val="Arial"/>
      <family val="2"/>
    </font>
    <font>
      <sz val="9"/>
      <color theme="1"/>
      <name val="Arial"/>
      <family val="2"/>
    </font>
    <font>
      <b/>
      <sz val="9"/>
      <color rgb="FFFFFFFF"/>
      <name val="Arial"/>
      <family val="2"/>
    </font>
    <font>
      <b/>
      <sz val="9"/>
      <color rgb="FFD47600"/>
      <name val="Arial Bold"/>
    </font>
    <font>
      <u/>
      <sz val="11"/>
      <color theme="10"/>
      <name val="Calibri"/>
      <family val="2"/>
    </font>
    <font>
      <u/>
      <sz val="12"/>
      <color theme="10"/>
      <name val="Calibri"/>
      <family val="2"/>
    </font>
    <font>
      <i/>
      <sz val="12"/>
      <color rgb="FFFF0000"/>
      <name val="Arial"/>
      <family val="2"/>
    </font>
    <font>
      <sz val="12"/>
      <color rgb="FFFF0000"/>
      <name val="Arial"/>
      <family val="2"/>
    </font>
    <font>
      <sz val="12"/>
      <color rgb="FFFF0000"/>
      <name val="Calibri"/>
      <family val="2"/>
      <scheme val="minor"/>
    </font>
    <font>
      <i/>
      <strike/>
      <sz val="9"/>
      <color theme="1"/>
      <name val="Arial"/>
      <family val="2"/>
    </font>
    <font>
      <strike/>
      <sz val="9"/>
      <color theme="1"/>
      <name val="Arial"/>
      <family val="2"/>
    </font>
    <font>
      <b/>
      <u/>
      <sz val="11"/>
      <color theme="1"/>
      <name val="Calibri"/>
      <family val="2"/>
      <scheme val="minor"/>
    </font>
  </fonts>
  <fills count="9">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9"/>
        <bgColor indexed="64"/>
      </patternFill>
    </fill>
    <fill>
      <patternFill patternType="solid">
        <fgColor rgb="FFFFFFCC"/>
        <bgColor indexed="64"/>
      </patternFill>
    </fill>
    <fill>
      <patternFill patternType="solid">
        <fgColor rgb="FFD47600"/>
        <bgColor indexed="64"/>
      </patternFill>
    </fill>
  </fills>
  <borders count="6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rgb="FFFF0000"/>
      </left>
      <right style="thin">
        <color rgb="FFFF0000"/>
      </right>
      <top style="thin">
        <color rgb="FFFF0000"/>
      </top>
      <bottom style="thin">
        <color rgb="FFFF0000"/>
      </bottom>
      <diagonal/>
    </border>
    <border>
      <left style="medium">
        <color rgb="FFD47600"/>
      </left>
      <right style="thin">
        <color rgb="FFD47600"/>
      </right>
      <top style="medium">
        <color rgb="FFD47600"/>
      </top>
      <bottom style="thin">
        <color rgb="FFD47600"/>
      </bottom>
      <diagonal/>
    </border>
    <border>
      <left style="thin">
        <color rgb="FFD47600"/>
      </left>
      <right style="thin">
        <color rgb="FFD47600"/>
      </right>
      <top style="medium">
        <color rgb="FFD47600"/>
      </top>
      <bottom style="thin">
        <color rgb="FFD47600"/>
      </bottom>
      <diagonal/>
    </border>
    <border>
      <left style="thin">
        <color rgb="FFD47600"/>
      </left>
      <right style="medium">
        <color rgb="FFD47600"/>
      </right>
      <top style="medium">
        <color rgb="FFD47600"/>
      </top>
      <bottom style="thin">
        <color rgb="FFD47600"/>
      </bottom>
      <diagonal/>
    </border>
    <border>
      <left style="medium">
        <color rgb="FFD47600"/>
      </left>
      <right style="thin">
        <color rgb="FFD47600"/>
      </right>
      <top style="thin">
        <color rgb="FFD47600"/>
      </top>
      <bottom style="thin">
        <color rgb="FFD47600"/>
      </bottom>
      <diagonal/>
    </border>
    <border>
      <left style="thin">
        <color rgb="FFD47600"/>
      </left>
      <right style="thin">
        <color rgb="FFD47600"/>
      </right>
      <top style="thin">
        <color rgb="FFD47600"/>
      </top>
      <bottom style="thin">
        <color rgb="FFD47600"/>
      </bottom>
      <diagonal/>
    </border>
    <border>
      <left style="thin">
        <color rgb="FFD47600"/>
      </left>
      <right style="medium">
        <color rgb="FFD47600"/>
      </right>
      <top style="thin">
        <color rgb="FFD47600"/>
      </top>
      <bottom style="thin">
        <color rgb="FFD47600"/>
      </bottom>
      <diagonal/>
    </border>
    <border>
      <left style="medium">
        <color rgb="FFD47600"/>
      </left>
      <right style="thin">
        <color rgb="FFD47600"/>
      </right>
      <top style="thin">
        <color rgb="FFD47600"/>
      </top>
      <bottom style="medium">
        <color rgb="FFD47600"/>
      </bottom>
      <diagonal/>
    </border>
    <border>
      <left style="thin">
        <color rgb="FFD47600"/>
      </left>
      <right style="thin">
        <color rgb="FFD47600"/>
      </right>
      <top style="thin">
        <color rgb="FFD47600"/>
      </top>
      <bottom style="medium">
        <color rgb="FFD47600"/>
      </bottom>
      <diagonal/>
    </border>
    <border>
      <left style="thin">
        <color rgb="FFD47600"/>
      </left>
      <right style="medium">
        <color rgb="FFD47600"/>
      </right>
      <top style="thin">
        <color rgb="FFD47600"/>
      </top>
      <bottom style="medium">
        <color rgb="FFD47600"/>
      </bottom>
      <diagonal/>
    </border>
    <border>
      <left style="medium">
        <color theme="9" tint="-0.24994659260841701"/>
      </left>
      <right style="thin">
        <color theme="9" tint="-0.24994659260841701"/>
      </right>
      <top style="medium">
        <color theme="9" tint="-0.24994659260841701"/>
      </top>
      <bottom style="thin">
        <color theme="9" tint="-0.24994659260841701"/>
      </bottom>
      <diagonal/>
    </border>
    <border>
      <left style="thin">
        <color theme="9" tint="-0.24994659260841701"/>
      </left>
      <right style="thin">
        <color theme="9" tint="-0.24994659260841701"/>
      </right>
      <top style="medium">
        <color theme="9" tint="-0.24994659260841701"/>
      </top>
      <bottom style="thin">
        <color theme="9" tint="-0.24994659260841701"/>
      </bottom>
      <diagonal/>
    </border>
    <border>
      <left style="thin">
        <color theme="9" tint="-0.24994659260841701"/>
      </left>
      <right style="medium">
        <color theme="9" tint="-0.24994659260841701"/>
      </right>
      <top style="medium">
        <color theme="9" tint="-0.24994659260841701"/>
      </top>
      <bottom style="thin">
        <color theme="9" tint="-0.24994659260841701"/>
      </bottom>
      <diagonal/>
    </border>
    <border>
      <left style="medium">
        <color theme="9" tint="-0.24994659260841701"/>
      </left>
      <right style="thin">
        <color theme="9" tint="-0.24994659260841701"/>
      </right>
      <top style="thin">
        <color theme="9" tint="-0.24994659260841701"/>
      </top>
      <bottom style="thin">
        <color theme="9" tint="-0.24994659260841701"/>
      </bottom>
      <diagonal/>
    </border>
    <border>
      <left style="thin">
        <color theme="9" tint="-0.24994659260841701"/>
      </left>
      <right style="thin">
        <color theme="9" tint="-0.24994659260841701"/>
      </right>
      <top style="thin">
        <color theme="9" tint="-0.24994659260841701"/>
      </top>
      <bottom style="thin">
        <color theme="9" tint="-0.24994659260841701"/>
      </bottom>
      <diagonal/>
    </border>
    <border>
      <left style="thin">
        <color theme="9" tint="-0.24994659260841701"/>
      </left>
      <right style="medium">
        <color theme="9" tint="-0.24994659260841701"/>
      </right>
      <top style="thin">
        <color theme="9" tint="-0.24994659260841701"/>
      </top>
      <bottom style="thin">
        <color theme="9" tint="-0.24994659260841701"/>
      </bottom>
      <diagonal/>
    </border>
    <border>
      <left style="medium">
        <color theme="9" tint="-0.24994659260841701"/>
      </left>
      <right style="thin">
        <color theme="9" tint="-0.24994659260841701"/>
      </right>
      <top style="thin">
        <color theme="9" tint="-0.24994659260841701"/>
      </top>
      <bottom style="medium">
        <color theme="9" tint="-0.24994659260841701"/>
      </bottom>
      <diagonal/>
    </border>
    <border>
      <left style="thin">
        <color theme="9" tint="-0.24994659260841701"/>
      </left>
      <right style="thin">
        <color theme="9" tint="-0.24994659260841701"/>
      </right>
      <top style="thin">
        <color theme="9" tint="-0.24994659260841701"/>
      </top>
      <bottom style="medium">
        <color theme="9" tint="-0.24994659260841701"/>
      </bottom>
      <diagonal/>
    </border>
    <border>
      <left style="thin">
        <color theme="9" tint="-0.24994659260841701"/>
      </left>
      <right style="medium">
        <color theme="9" tint="-0.24994659260841701"/>
      </right>
      <top style="thin">
        <color theme="9" tint="-0.24994659260841701"/>
      </top>
      <bottom style="medium">
        <color theme="9" tint="-0.24994659260841701"/>
      </bottom>
      <diagonal/>
    </border>
    <border>
      <left style="thin">
        <color rgb="FFD47600"/>
      </left>
      <right/>
      <top style="thin">
        <color rgb="FFD47600"/>
      </top>
      <bottom/>
      <diagonal/>
    </border>
    <border>
      <left/>
      <right/>
      <top style="thin">
        <color rgb="FFD47600"/>
      </top>
      <bottom/>
      <diagonal/>
    </border>
    <border>
      <left/>
      <right style="medium">
        <color rgb="FFD47600"/>
      </right>
      <top style="thin">
        <color rgb="FFD47600"/>
      </top>
      <bottom/>
      <diagonal/>
    </border>
    <border>
      <left style="thin">
        <color rgb="FFD47600"/>
      </left>
      <right/>
      <top/>
      <bottom style="thin">
        <color rgb="FFD47600"/>
      </bottom>
      <diagonal/>
    </border>
    <border>
      <left/>
      <right/>
      <top/>
      <bottom style="thin">
        <color rgb="FFD47600"/>
      </bottom>
      <diagonal/>
    </border>
    <border>
      <left/>
      <right style="medium">
        <color rgb="FFD47600"/>
      </right>
      <top/>
      <bottom style="thin">
        <color rgb="FFD47600"/>
      </bottom>
      <diagonal/>
    </border>
    <border>
      <left/>
      <right style="medium">
        <color theme="9" tint="-0.24994659260841701"/>
      </right>
      <top/>
      <bottom/>
      <diagonal/>
    </border>
    <border>
      <left style="medium">
        <color theme="9" tint="-0.24994659260841701"/>
      </left>
      <right/>
      <top/>
      <bottom/>
      <diagonal/>
    </border>
    <border>
      <left/>
      <right/>
      <top style="medium">
        <color rgb="FFD47600"/>
      </top>
      <bottom/>
      <diagonal/>
    </border>
    <border>
      <left style="thin">
        <color theme="9" tint="-0.24994659260841701"/>
      </left>
      <right/>
      <top style="thin">
        <color theme="9" tint="-0.24994659260841701"/>
      </top>
      <bottom/>
      <diagonal/>
    </border>
    <border>
      <left/>
      <right/>
      <top style="thin">
        <color theme="9" tint="-0.24994659260841701"/>
      </top>
      <bottom/>
      <diagonal/>
    </border>
    <border>
      <left/>
      <right style="thin">
        <color theme="9" tint="-0.24994659260841701"/>
      </right>
      <top style="thin">
        <color theme="9" tint="-0.24994659260841701"/>
      </top>
      <bottom/>
      <diagonal/>
    </border>
    <border>
      <left style="thin">
        <color theme="9" tint="-0.24994659260841701"/>
      </left>
      <right/>
      <top/>
      <bottom/>
      <diagonal/>
    </border>
    <border>
      <left/>
      <right style="thin">
        <color theme="9" tint="-0.24994659260841701"/>
      </right>
      <top/>
      <bottom/>
      <diagonal/>
    </border>
    <border>
      <left style="thin">
        <color theme="9" tint="-0.24994659260841701"/>
      </left>
      <right/>
      <top/>
      <bottom style="thin">
        <color theme="9" tint="-0.24994659260841701"/>
      </bottom>
      <diagonal/>
    </border>
    <border>
      <left/>
      <right/>
      <top/>
      <bottom style="thin">
        <color theme="9" tint="-0.24994659260841701"/>
      </bottom>
      <diagonal/>
    </border>
    <border>
      <left/>
      <right style="thin">
        <color theme="9" tint="-0.24994659260841701"/>
      </right>
      <top/>
      <bottom style="thin">
        <color theme="9" tint="-0.24994659260841701"/>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3">
    <xf numFmtId="0" fontId="0" fillId="0" borderId="0"/>
    <xf numFmtId="164" fontId="10" fillId="0" borderId="0"/>
    <xf numFmtId="0" fontId="28" fillId="0" borderId="0" applyNumberFormat="0" applyFill="0" applyBorder="0" applyAlignment="0" applyProtection="0">
      <alignment vertical="top"/>
      <protection locked="0"/>
    </xf>
  </cellStyleXfs>
  <cellXfs count="182">
    <xf numFmtId="0" fontId="0" fillId="0" borderId="0" xfId="0"/>
    <xf numFmtId="0" fontId="0" fillId="0" borderId="0" xfId="0"/>
    <xf numFmtId="0" fontId="0" fillId="0" borderId="0" xfId="0" applyAlignment="1">
      <alignment wrapText="1"/>
    </xf>
    <xf numFmtId="0" fontId="0" fillId="0" borderId="0" xfId="0" applyBorder="1"/>
    <xf numFmtId="0" fontId="0" fillId="0" borderId="0" xfId="0" applyAlignment="1">
      <alignment horizontal="center"/>
    </xf>
    <xf numFmtId="0" fontId="2" fillId="0" borderId="0" xfId="0" applyFont="1"/>
    <xf numFmtId="0" fontId="0" fillId="0" borderId="0" xfId="0" applyFont="1"/>
    <xf numFmtId="0" fontId="1" fillId="0" borderId="0" xfId="0" applyFont="1" applyAlignment="1">
      <alignment horizontal="center" vertical="center"/>
    </xf>
    <xf numFmtId="0" fontId="3" fillId="0" borderId="0" xfId="0" applyFont="1" applyAlignment="1">
      <alignment horizontal="center" vertical="center"/>
    </xf>
    <xf numFmtId="0" fontId="0" fillId="0" borderId="0" xfId="0" applyAlignment="1">
      <alignment horizontal="center" wrapText="1"/>
    </xf>
    <xf numFmtId="0" fontId="0" fillId="0" borderId="1" xfId="0" applyFont="1" applyBorder="1"/>
    <xf numFmtId="0" fontId="0" fillId="0" borderId="1" xfId="0" applyBorder="1"/>
    <xf numFmtId="0" fontId="0" fillId="0" borderId="3" xfId="0" applyFont="1" applyBorder="1"/>
    <xf numFmtId="0" fontId="2" fillId="0" borderId="0" xfId="0" applyFont="1" applyBorder="1"/>
    <xf numFmtId="0" fontId="0" fillId="0" borderId="8" xfId="0" applyFont="1" applyBorder="1"/>
    <xf numFmtId="0" fontId="0" fillId="0" borderId="11" xfId="0" applyFont="1" applyBorder="1"/>
    <xf numFmtId="0" fontId="0" fillId="0" borderId="2" xfId="0" applyFill="1" applyBorder="1" applyAlignment="1">
      <alignment horizontal="left"/>
    </xf>
    <xf numFmtId="0" fontId="0" fillId="0" borderId="5" xfId="0" applyFill="1" applyBorder="1" applyAlignment="1">
      <alignment horizontal="left"/>
    </xf>
    <xf numFmtId="0" fontId="0" fillId="0" borderId="7" xfId="0" applyFill="1" applyBorder="1" applyAlignment="1">
      <alignment horizontal="left"/>
    </xf>
    <xf numFmtId="0" fontId="0" fillId="0" borderId="3" xfId="0" applyFont="1" applyFill="1" applyBorder="1" applyAlignment="1">
      <alignment horizontal="center"/>
    </xf>
    <xf numFmtId="0" fontId="0" fillId="0" borderId="3" xfId="0" applyFill="1" applyBorder="1"/>
    <xf numFmtId="0" fontId="0" fillId="0" borderId="4" xfId="0" applyFill="1" applyBorder="1"/>
    <xf numFmtId="0" fontId="0" fillId="0" borderId="1" xfId="0" applyFont="1" applyFill="1" applyBorder="1" applyAlignment="1">
      <alignment horizontal="center"/>
    </xf>
    <xf numFmtId="0" fontId="0" fillId="0" borderId="1" xfId="0" applyFill="1" applyBorder="1"/>
    <xf numFmtId="0" fontId="0" fillId="0" borderId="6" xfId="0" applyFill="1" applyBorder="1"/>
    <xf numFmtId="0" fontId="0" fillId="0" borderId="8" xfId="0" applyFont="1" applyFill="1" applyBorder="1" applyAlignment="1">
      <alignment horizontal="center"/>
    </xf>
    <xf numFmtId="0" fontId="0" fillId="0" borderId="8" xfId="0" applyFill="1" applyBorder="1"/>
    <xf numFmtId="0" fontId="0" fillId="0" borderId="9" xfId="0" applyFill="1" applyBorder="1"/>
    <xf numFmtId="0" fontId="0" fillId="0" borderId="0" xfId="0" applyFill="1" applyAlignment="1">
      <alignment horizontal="left"/>
    </xf>
    <xf numFmtId="0" fontId="1" fillId="0" borderId="0" xfId="0" applyFont="1" applyFill="1" applyAlignment="1">
      <alignment horizontal="center"/>
    </xf>
    <xf numFmtId="0" fontId="0" fillId="0" borderId="0" xfId="0" applyFill="1"/>
    <xf numFmtId="0" fontId="0" fillId="0" borderId="0" xfId="0" applyFont="1" applyFill="1" applyAlignment="1">
      <alignment horizontal="center"/>
    </xf>
    <xf numFmtId="0" fontId="0" fillId="0" borderId="0" xfId="0" applyFill="1" applyBorder="1"/>
    <xf numFmtId="0" fontId="0" fillId="0" borderId="13" xfId="0" applyFont="1" applyFill="1" applyBorder="1" applyAlignment="1">
      <alignment horizontal="center"/>
    </xf>
    <xf numFmtId="0" fontId="0" fillId="0" borderId="13" xfId="0" applyFill="1" applyBorder="1"/>
    <xf numFmtId="0" fontId="0" fillId="0" borderId="11" xfId="0" applyFill="1" applyBorder="1"/>
    <xf numFmtId="0" fontId="0" fillId="0" borderId="12" xfId="0" applyFill="1" applyBorder="1"/>
    <xf numFmtId="0" fontId="2" fillId="0" borderId="0" xfId="0" applyFont="1" applyFill="1" applyAlignment="1">
      <alignment horizontal="center"/>
    </xf>
    <xf numFmtId="0" fontId="0" fillId="0" borderId="0" xfId="0" applyFont="1" applyFill="1" applyBorder="1" applyAlignment="1">
      <alignment horizontal="center"/>
    </xf>
    <xf numFmtId="0" fontId="4" fillId="0" borderId="0" xfId="0" applyFont="1" applyFill="1" applyAlignment="1">
      <alignment horizontal="center" vertical="center"/>
    </xf>
    <xf numFmtId="0" fontId="5" fillId="2" borderId="0" xfId="0" applyFont="1" applyFill="1" applyAlignment="1">
      <alignment horizontal="left"/>
    </xf>
    <xf numFmtId="0" fontId="5" fillId="2" borderId="0" xfId="0" applyFont="1" applyFill="1" applyAlignment="1">
      <alignment horizontal="right"/>
    </xf>
    <xf numFmtId="0" fontId="0" fillId="0" borderId="0" xfId="0" applyFont="1" applyBorder="1"/>
    <xf numFmtId="0" fontId="6" fillId="3" borderId="0" xfId="0" applyFont="1" applyFill="1"/>
    <xf numFmtId="0" fontId="2" fillId="0" borderId="13" xfId="0" applyFont="1" applyBorder="1"/>
    <xf numFmtId="0" fontId="0" fillId="0" borderId="13" xfId="0" applyBorder="1"/>
    <xf numFmtId="0" fontId="5" fillId="2" borderId="0" xfId="0" applyFont="1" applyFill="1" applyBorder="1" applyAlignment="1">
      <alignment horizontal="left"/>
    </xf>
    <xf numFmtId="0" fontId="4" fillId="0" borderId="14" xfId="0" applyFont="1" applyFill="1" applyBorder="1" applyAlignment="1">
      <alignment horizontal="center" wrapText="1"/>
    </xf>
    <xf numFmtId="0" fontId="4" fillId="0" borderId="15" xfId="0" applyFont="1" applyFill="1" applyBorder="1" applyAlignment="1">
      <alignment horizontal="center" wrapText="1"/>
    </xf>
    <xf numFmtId="0" fontId="4" fillId="0" borderId="16" xfId="0" applyFont="1" applyFill="1" applyBorder="1" applyAlignment="1">
      <alignment horizontal="center" wrapText="1"/>
    </xf>
    <xf numFmtId="0" fontId="4" fillId="0" borderId="2" xfId="0" applyFont="1" applyFill="1" applyBorder="1" applyAlignment="1">
      <alignment horizontal="right"/>
    </xf>
    <xf numFmtId="0" fontId="4" fillId="0" borderId="7" xfId="0" applyFont="1" applyFill="1" applyBorder="1" applyAlignment="1">
      <alignment horizontal="right"/>
    </xf>
    <xf numFmtId="0" fontId="3" fillId="5" borderId="0" xfId="0" applyFont="1" applyFill="1" applyAlignment="1">
      <alignment horizontal="center" vertical="center"/>
    </xf>
    <xf numFmtId="0" fontId="9" fillId="5" borderId="4" xfId="0" applyFont="1" applyFill="1" applyBorder="1" applyAlignment="1">
      <alignment horizontal="center"/>
    </xf>
    <xf numFmtId="0" fontId="9" fillId="5" borderId="9" xfId="0" applyFont="1" applyFill="1" applyBorder="1" applyAlignment="1">
      <alignment horizontal="center"/>
    </xf>
    <xf numFmtId="164" fontId="0" fillId="0" borderId="0" xfId="1" applyFont="1"/>
    <xf numFmtId="164" fontId="0" fillId="6" borderId="11" xfId="1" applyFont="1" applyFill="1" applyBorder="1"/>
    <xf numFmtId="164" fontId="0" fillId="6" borderId="12" xfId="1" applyFont="1" applyFill="1" applyBorder="1"/>
    <xf numFmtId="164" fontId="0" fillId="0" borderId="20" xfId="1" applyFont="1" applyBorder="1"/>
    <xf numFmtId="164" fontId="0" fillId="0" borderId="20" xfId="1" applyFont="1" applyBorder="1" applyAlignment="1">
      <alignment wrapText="1"/>
    </xf>
    <xf numFmtId="164" fontId="0" fillId="0" borderId="21" xfId="1" applyFont="1" applyBorder="1"/>
    <xf numFmtId="164" fontId="0" fillId="0" borderId="1" xfId="1" applyFont="1" applyBorder="1"/>
    <xf numFmtId="164" fontId="0" fillId="0" borderId="1" xfId="1" applyFont="1" applyBorder="1" applyAlignment="1">
      <alignment wrapText="1"/>
    </xf>
    <xf numFmtId="164" fontId="0" fillId="0" borderId="6" xfId="1" applyFont="1" applyBorder="1"/>
    <xf numFmtId="164" fontId="0" fillId="0" borderId="8" xfId="1" applyFont="1" applyBorder="1"/>
    <xf numFmtId="164" fontId="0" fillId="0" borderId="8" xfId="1" applyFont="1" applyBorder="1" applyAlignment="1">
      <alignment wrapText="1"/>
    </xf>
    <xf numFmtId="164" fontId="0" fillId="0" borderId="9" xfId="1" applyFont="1" applyBorder="1"/>
    <xf numFmtId="164" fontId="1" fillId="0" borderId="0" xfId="1" applyFont="1"/>
    <xf numFmtId="49" fontId="0" fillId="0" borderId="20" xfId="1" applyNumberFormat="1" applyFont="1" applyBorder="1"/>
    <xf numFmtId="49" fontId="0" fillId="0" borderId="1" xfId="1" applyNumberFormat="1" applyFont="1" applyBorder="1"/>
    <xf numFmtId="49" fontId="0" fillId="0" borderId="8" xfId="1" applyNumberFormat="1" applyFont="1" applyBorder="1"/>
    <xf numFmtId="164" fontId="0" fillId="0" borderId="0" xfId="1" applyFont="1" applyBorder="1"/>
    <xf numFmtId="49" fontId="0" fillId="0" borderId="0" xfId="1" applyNumberFormat="1" applyFont="1" applyBorder="1"/>
    <xf numFmtId="164" fontId="0" fillId="0" borderId="0" xfId="1" applyFont="1" applyBorder="1" applyAlignment="1">
      <alignment wrapText="1"/>
    </xf>
    <xf numFmtId="0" fontId="4" fillId="0" borderId="0" xfId="0" applyFont="1" applyFill="1" applyAlignment="1">
      <alignment horizontal="right"/>
    </xf>
    <xf numFmtId="0" fontId="11" fillId="4" borderId="0" xfId="0" applyFont="1" applyFill="1" applyAlignment="1">
      <alignment horizontal="center" vertical="center" wrapText="1"/>
    </xf>
    <xf numFmtId="0" fontId="7" fillId="0" borderId="0" xfId="0" applyFont="1" applyFill="1" applyAlignment="1">
      <alignment vertical="center" wrapText="1"/>
    </xf>
    <xf numFmtId="0" fontId="14" fillId="7" borderId="17" xfId="0" applyFont="1" applyFill="1" applyBorder="1" applyAlignment="1">
      <alignment vertical="center"/>
    </xf>
    <xf numFmtId="0" fontId="12" fillId="7" borderId="13" xfId="0" applyFont="1" applyFill="1" applyBorder="1"/>
    <xf numFmtId="0" fontId="15" fillId="7" borderId="13" xfId="0" applyFont="1" applyFill="1" applyBorder="1" applyAlignment="1">
      <alignment horizontal="center" vertical="center"/>
    </xf>
    <xf numFmtId="0" fontId="15" fillId="7" borderId="13" xfId="0" applyFont="1" applyFill="1" applyBorder="1" applyAlignment="1">
      <alignment vertical="center"/>
    </xf>
    <xf numFmtId="0" fontId="15" fillId="7" borderId="18" xfId="0" applyFont="1" applyFill="1" applyBorder="1" applyAlignment="1">
      <alignment vertical="center"/>
    </xf>
    <xf numFmtId="0" fontId="2" fillId="0" borderId="0" xfId="0" applyFont="1" applyFill="1" applyAlignment="1">
      <alignment horizontal="left"/>
    </xf>
    <xf numFmtId="0" fontId="2" fillId="0" borderId="0" xfId="0" applyFont="1" applyFill="1" applyBorder="1" applyAlignment="1">
      <alignment horizontal="left"/>
    </xf>
    <xf numFmtId="0" fontId="2" fillId="0" borderId="0" xfId="0" applyFont="1" applyAlignment="1">
      <alignment horizontal="left"/>
    </xf>
    <xf numFmtId="0" fontId="0" fillId="0" borderId="11" xfId="0" applyFont="1" applyFill="1" applyBorder="1" applyAlignment="1">
      <alignment horizontal="center"/>
    </xf>
    <xf numFmtId="0" fontId="13" fillId="0" borderId="0" xfId="0" applyFont="1" applyFill="1" applyAlignment="1">
      <alignment horizontal="center" vertical="center"/>
    </xf>
    <xf numFmtId="0" fontId="9" fillId="0" borderId="0" xfId="0" applyFont="1" applyFill="1" applyAlignment="1">
      <alignment horizontal="center"/>
    </xf>
    <xf numFmtId="0" fontId="16" fillId="0" borderId="22" xfId="0" applyFont="1" applyFill="1" applyBorder="1" applyAlignment="1">
      <alignment horizontal="center" vertical="center"/>
    </xf>
    <xf numFmtId="165" fontId="0" fillId="0" borderId="0" xfId="1" applyNumberFormat="1" applyFont="1"/>
    <xf numFmtId="165" fontId="0" fillId="6" borderId="10" xfId="1" applyNumberFormat="1" applyFont="1" applyFill="1" applyBorder="1"/>
    <xf numFmtId="165" fontId="0" fillId="0" borderId="19" xfId="1" applyNumberFormat="1" applyFont="1" applyBorder="1"/>
    <xf numFmtId="165" fontId="0" fillId="0" borderId="5" xfId="1" applyNumberFormat="1" applyFont="1" applyBorder="1"/>
    <xf numFmtId="165" fontId="0" fillId="0" borderId="7" xfId="1" applyNumberFormat="1" applyFont="1" applyBorder="1"/>
    <xf numFmtId="165" fontId="0" fillId="0" borderId="0" xfId="1" applyNumberFormat="1" applyFont="1" applyBorder="1"/>
    <xf numFmtId="0" fontId="28" fillId="0" borderId="0" xfId="2" applyAlignment="1" applyProtection="1"/>
    <xf numFmtId="0" fontId="0" fillId="0" borderId="50" xfId="0" applyBorder="1"/>
    <xf numFmtId="0" fontId="0" fillId="0" borderId="52" xfId="0" applyBorder="1"/>
    <xf numFmtId="0" fontId="0" fillId="0" borderId="53" xfId="0" applyBorder="1"/>
    <xf numFmtId="0" fontId="0" fillId="0" borderId="54" xfId="0" applyBorder="1"/>
    <xf numFmtId="0" fontId="0" fillId="0" borderId="55" xfId="0" applyBorder="1"/>
    <xf numFmtId="0" fontId="0" fillId="0" borderId="56" xfId="0" applyBorder="1"/>
    <xf numFmtId="0" fontId="0" fillId="0" borderId="57" xfId="0" applyBorder="1"/>
    <xf numFmtId="0" fontId="27" fillId="0" borderId="0" xfId="0" applyFont="1" applyBorder="1" applyAlignment="1">
      <alignment horizontal="left"/>
    </xf>
    <xf numFmtId="0" fontId="20" fillId="0" borderId="0" xfId="0" applyFont="1" applyBorder="1" applyAlignment="1"/>
    <xf numFmtId="0" fontId="0" fillId="0" borderId="0" xfId="0" applyBorder="1" applyAlignment="1"/>
    <xf numFmtId="0" fontId="21" fillId="0" borderId="0" xfId="0" applyFont="1" applyBorder="1" applyAlignment="1">
      <alignment horizontal="left" vertical="center" wrapText="1"/>
    </xf>
    <xf numFmtId="0" fontId="21" fillId="0" borderId="0" xfId="0" applyFont="1" applyBorder="1" applyAlignment="1"/>
    <xf numFmtId="0" fontId="21" fillId="0" borderId="56" xfId="0" applyFont="1" applyBorder="1" applyAlignment="1"/>
    <xf numFmtId="0" fontId="0" fillId="0" borderId="56" xfId="0" applyBorder="1" applyAlignment="1"/>
    <xf numFmtId="0" fontId="0" fillId="0" borderId="5" xfId="0" applyFill="1" applyBorder="1" applyAlignment="1">
      <alignment horizontal="left" wrapText="1"/>
    </xf>
    <xf numFmtId="0" fontId="0" fillId="0" borderId="5" xfId="0" applyNumberFormat="1" applyFill="1" applyBorder="1" applyAlignment="1">
      <alignment horizontal="left" wrapText="1"/>
    </xf>
    <xf numFmtId="0" fontId="0" fillId="0" borderId="6" xfId="0" applyFill="1" applyBorder="1" applyAlignment="1">
      <alignment wrapText="1"/>
    </xf>
    <xf numFmtId="0" fontId="0" fillId="0" borderId="9" xfId="0" applyFill="1" applyBorder="1" applyAlignment="1">
      <alignment wrapText="1"/>
    </xf>
    <xf numFmtId="165" fontId="0" fillId="0" borderId="58" xfId="1" applyNumberFormat="1" applyFont="1" applyBorder="1"/>
    <xf numFmtId="49" fontId="0" fillId="0" borderId="59" xfId="1" applyNumberFormat="1" applyFont="1" applyBorder="1"/>
    <xf numFmtId="164" fontId="0" fillId="0" borderId="59" xfId="1" applyFont="1" applyBorder="1"/>
    <xf numFmtId="164" fontId="0" fillId="0" borderId="59" xfId="1" applyFont="1" applyBorder="1" applyAlignment="1">
      <alignment wrapText="1"/>
    </xf>
    <xf numFmtId="164" fontId="0" fillId="0" borderId="60" xfId="1" applyFont="1" applyBorder="1"/>
    <xf numFmtId="0" fontId="0" fillId="0" borderId="5" xfId="0" applyFill="1" applyBorder="1" applyAlignment="1">
      <alignment horizontal="left" vertical="top" wrapText="1"/>
    </xf>
    <xf numFmtId="0" fontId="0" fillId="0" borderId="2" xfId="0" applyFill="1" applyBorder="1" applyAlignment="1">
      <alignment horizontal="left" vertical="top" wrapText="1"/>
    </xf>
    <xf numFmtId="0" fontId="5" fillId="2" borderId="0" xfId="0" applyFont="1" applyFill="1" applyBorder="1" applyAlignment="1">
      <alignment horizontal="left" vertical="top" wrapText="1"/>
    </xf>
    <xf numFmtId="0" fontId="0" fillId="0" borderId="10" xfId="0" applyFill="1" applyBorder="1" applyAlignment="1">
      <alignment horizontal="left" vertical="top" wrapText="1"/>
    </xf>
    <xf numFmtId="0" fontId="0" fillId="0" borderId="7" xfId="0" applyFill="1" applyBorder="1" applyAlignment="1">
      <alignment horizontal="left" vertical="top" wrapText="1"/>
    </xf>
    <xf numFmtId="0" fontId="5" fillId="2" borderId="13" xfId="0" applyFont="1" applyFill="1" applyBorder="1" applyAlignment="1">
      <alignment horizontal="left" vertical="top" wrapText="1"/>
    </xf>
    <xf numFmtId="0" fontId="5" fillId="2" borderId="0" xfId="0" applyFont="1" applyFill="1" applyAlignment="1">
      <alignment horizontal="left" vertical="top" wrapText="1"/>
    </xf>
    <xf numFmtId="0" fontId="0" fillId="0" borderId="0" xfId="0" applyFill="1" applyBorder="1" applyAlignment="1">
      <alignment horizontal="left" vertical="top" wrapText="1"/>
    </xf>
    <xf numFmtId="0" fontId="6" fillId="3" borderId="0" xfId="0" applyFont="1" applyFill="1" applyBorder="1" applyAlignment="1">
      <alignment horizontal="left" vertical="top" wrapText="1"/>
    </xf>
    <xf numFmtId="0" fontId="0" fillId="0" borderId="0" xfId="0" applyFill="1" applyBorder="1" applyAlignment="1">
      <alignment horizontal="left"/>
    </xf>
    <xf numFmtId="164" fontId="0" fillId="0" borderId="1" xfId="1" applyFont="1" applyBorder="1" applyAlignment="1">
      <alignment horizontal="left"/>
    </xf>
    <xf numFmtId="164" fontId="0" fillId="5" borderId="17" xfId="1" applyFont="1" applyFill="1" applyBorder="1" applyAlignment="1">
      <alignment horizontal="center"/>
    </xf>
    <xf numFmtId="164" fontId="0" fillId="5" borderId="13" xfId="1" applyFont="1" applyFill="1" applyBorder="1" applyAlignment="1">
      <alignment horizontal="center"/>
    </xf>
    <xf numFmtId="164" fontId="0" fillId="5" borderId="18" xfId="1" applyFont="1" applyFill="1" applyBorder="1" applyAlignment="1">
      <alignment horizontal="center"/>
    </xf>
    <xf numFmtId="0" fontId="8" fillId="0" borderId="0" xfId="0" applyFont="1" applyFill="1" applyAlignment="1">
      <alignment horizontal="center" vertical="center"/>
    </xf>
    <xf numFmtId="164" fontId="17" fillId="6" borderId="0" xfId="1" applyFont="1" applyFill="1" applyAlignment="1">
      <alignment horizontal="center"/>
    </xf>
    <xf numFmtId="164" fontId="0" fillId="0" borderId="0" xfId="1" applyFont="1" applyBorder="1" applyAlignment="1">
      <alignment horizontal="left"/>
    </xf>
    <xf numFmtId="164" fontId="0" fillId="0" borderId="20" xfId="1" applyFont="1" applyBorder="1" applyAlignment="1">
      <alignment horizontal="left"/>
    </xf>
    <xf numFmtId="164" fontId="0" fillId="0" borderId="0" xfId="1" applyFont="1" applyFill="1" applyAlignment="1">
      <alignment horizontal="left" wrapText="1"/>
    </xf>
    <xf numFmtId="0" fontId="18" fillId="0" borderId="0" xfId="0" applyFont="1" applyAlignment="1">
      <alignment horizontal="left"/>
    </xf>
    <xf numFmtId="0" fontId="25" fillId="0" borderId="33" xfId="0" applyFont="1" applyBorder="1" applyAlignment="1">
      <alignment horizontal="left" vertical="center" wrapText="1"/>
    </xf>
    <xf numFmtId="0" fontId="25" fillId="0" borderId="34" xfId="0" applyFont="1" applyBorder="1" applyAlignment="1">
      <alignment horizontal="left" vertical="center" wrapText="1"/>
    </xf>
    <xf numFmtId="0" fontId="26" fillId="8" borderId="0" xfId="0" applyFont="1" applyFill="1" applyBorder="1" applyAlignment="1">
      <alignment horizontal="center" vertical="top" wrapText="1"/>
    </xf>
    <xf numFmtId="0" fontId="26" fillId="8" borderId="47" xfId="0" applyFont="1" applyFill="1" applyBorder="1" applyAlignment="1">
      <alignment horizontal="center" vertical="top" wrapText="1"/>
    </xf>
    <xf numFmtId="0" fontId="26" fillId="8" borderId="48" xfId="0" applyFont="1" applyFill="1" applyBorder="1" applyAlignment="1">
      <alignment horizontal="center" vertical="top" wrapText="1"/>
    </xf>
    <xf numFmtId="0" fontId="20" fillId="0" borderId="0" xfId="0" applyFont="1" applyBorder="1" applyAlignment="1">
      <alignment horizontal="left" vertical="center" wrapText="1"/>
    </xf>
    <xf numFmtId="0" fontId="27" fillId="0" borderId="0" xfId="0" applyFont="1" applyBorder="1" applyAlignment="1">
      <alignment horizontal="left" vertical="center"/>
    </xf>
    <xf numFmtId="0" fontId="25" fillId="0" borderId="41" xfId="0" applyFont="1" applyBorder="1" applyAlignment="1">
      <alignment horizontal="left" vertical="center" wrapText="1"/>
    </xf>
    <xf numFmtId="0" fontId="25" fillId="0" borderId="42" xfId="0" applyFont="1" applyBorder="1" applyAlignment="1">
      <alignment horizontal="left" vertical="center" wrapText="1"/>
    </xf>
    <xf numFmtId="0" fontId="25" fillId="0" borderId="43" xfId="0" applyFont="1" applyBorder="1" applyAlignment="1">
      <alignment horizontal="left" vertical="center" wrapText="1"/>
    </xf>
    <xf numFmtId="0" fontId="25" fillId="0" borderId="44" xfId="0" applyFont="1" applyBorder="1" applyAlignment="1">
      <alignment horizontal="left" vertical="center" wrapText="1"/>
    </xf>
    <xf numFmtId="0" fontId="25" fillId="0" borderId="45" xfId="0" applyFont="1" applyBorder="1" applyAlignment="1">
      <alignment horizontal="left" vertical="center" wrapText="1"/>
    </xf>
    <xf numFmtId="0" fontId="25" fillId="0" borderId="46" xfId="0" applyFont="1" applyBorder="1" applyAlignment="1">
      <alignment horizontal="left" vertical="center" wrapText="1"/>
    </xf>
    <xf numFmtId="0" fontId="25" fillId="0" borderId="29" xfId="0" applyFont="1" applyBorder="1" applyAlignment="1">
      <alignment vertical="center" wrapText="1"/>
    </xf>
    <xf numFmtId="0" fontId="25" fillId="0" borderId="30" xfId="0" applyFont="1" applyBorder="1" applyAlignment="1">
      <alignment vertical="center" wrapText="1"/>
    </xf>
    <xf numFmtId="0" fontId="25" fillId="0" borderId="26" xfId="0" applyFont="1" applyBorder="1" applyAlignment="1">
      <alignment vertical="center" wrapText="1"/>
    </xf>
    <xf numFmtId="0" fontId="25" fillId="0" borderId="27" xfId="0" applyFont="1" applyBorder="1" applyAlignment="1">
      <alignment vertical="center" wrapText="1"/>
    </xf>
    <xf numFmtId="0" fontId="25" fillId="0" borderId="27" xfId="0" applyFont="1" applyBorder="1" applyAlignment="1">
      <alignment horizontal="left" vertical="center" wrapText="1"/>
    </xf>
    <xf numFmtId="0" fontId="25" fillId="0" borderId="28" xfId="0" applyFont="1" applyBorder="1" applyAlignment="1">
      <alignment horizontal="left" vertical="center" wrapText="1"/>
    </xf>
    <xf numFmtId="0" fontId="25" fillId="0" borderId="30" xfId="0" applyFont="1" applyBorder="1" applyAlignment="1">
      <alignment horizontal="left" vertical="center" wrapText="1"/>
    </xf>
    <xf numFmtId="0" fontId="25" fillId="0" borderId="31" xfId="0" applyFont="1" applyBorder="1" applyAlignment="1">
      <alignment horizontal="left" vertical="center" wrapText="1"/>
    </xf>
    <xf numFmtId="0" fontId="25" fillId="0" borderId="35" xfId="0" applyFont="1" applyBorder="1" applyAlignment="1">
      <alignment horizontal="left" vertical="center" wrapText="1"/>
    </xf>
    <xf numFmtId="0" fontId="25" fillId="0" borderId="36" xfId="0" applyFont="1" applyBorder="1" applyAlignment="1">
      <alignment horizontal="left" vertical="center" wrapText="1"/>
    </xf>
    <xf numFmtId="0" fontId="25" fillId="0" borderId="32" xfId="0" applyFont="1" applyBorder="1" applyAlignment="1">
      <alignment horizontal="left" vertical="center" wrapText="1"/>
    </xf>
    <xf numFmtId="0" fontId="21" fillId="0" borderId="0" xfId="0" applyFont="1" applyBorder="1" applyAlignment="1">
      <alignment horizontal="left"/>
    </xf>
    <xf numFmtId="0" fontId="18" fillId="0" borderId="51" xfId="0" applyFont="1" applyBorder="1" applyAlignment="1">
      <alignment horizontal="left"/>
    </xf>
    <xf numFmtId="0" fontId="26" fillId="8" borderId="23" xfId="0" applyFont="1" applyFill="1" applyBorder="1" applyAlignment="1">
      <alignment horizontal="center" vertical="center" wrapText="1"/>
    </xf>
    <xf numFmtId="0" fontId="26" fillId="8" borderId="24" xfId="0" applyFont="1" applyFill="1" applyBorder="1" applyAlignment="1">
      <alignment horizontal="center" vertical="center" wrapText="1"/>
    </xf>
    <xf numFmtId="0" fontId="25" fillId="0" borderId="26" xfId="0" applyFont="1" applyBorder="1" applyAlignment="1">
      <alignment vertical="top" wrapText="1"/>
    </xf>
    <xf numFmtId="0" fontId="25" fillId="0" borderId="27" xfId="0" applyFont="1" applyBorder="1" applyAlignment="1">
      <alignment vertical="top" wrapText="1"/>
    </xf>
    <xf numFmtId="0" fontId="25" fillId="0" borderId="38" xfId="0" applyFont="1" applyBorder="1" applyAlignment="1">
      <alignment horizontal="left" vertical="center" wrapText="1"/>
    </xf>
    <xf numFmtId="0" fontId="25" fillId="0" borderId="39" xfId="0" applyFont="1" applyBorder="1" applyAlignment="1">
      <alignment horizontal="left" vertical="center" wrapText="1"/>
    </xf>
    <xf numFmtId="0" fontId="21" fillId="0" borderId="0" xfId="0" applyFont="1" applyBorder="1" applyAlignment="1">
      <alignment horizontal="left" wrapText="1"/>
    </xf>
    <xf numFmtId="0" fontId="0" fillId="0" borderId="49" xfId="0" applyBorder="1" applyAlignment="1">
      <alignment horizontal="left"/>
    </xf>
    <xf numFmtId="0" fontId="21" fillId="0" borderId="0" xfId="0" applyFont="1" applyBorder="1" applyAlignment="1">
      <alignment horizontal="left" vertical="center" wrapText="1"/>
    </xf>
    <xf numFmtId="0" fontId="25" fillId="0" borderId="40" xfId="0" applyFont="1" applyBorder="1" applyAlignment="1">
      <alignment horizontal="left" vertical="center" wrapText="1"/>
    </xf>
    <xf numFmtId="0" fontId="25" fillId="0" borderId="37" xfId="0" applyFont="1" applyBorder="1" applyAlignment="1">
      <alignment horizontal="left" vertical="center" wrapText="1"/>
    </xf>
    <xf numFmtId="0" fontId="26" fillId="8" borderId="25" xfId="0" applyFont="1" applyFill="1" applyBorder="1" applyAlignment="1">
      <alignment horizontal="center" vertical="center" wrapText="1"/>
    </xf>
    <xf numFmtId="0" fontId="0" fillId="0" borderId="0" xfId="0" applyAlignment="1">
      <alignment horizontal="left" vertical="center" wrapText="1"/>
    </xf>
    <xf numFmtId="0" fontId="29" fillId="0" borderId="0" xfId="2" applyFont="1" applyAlignment="1" applyProtection="1">
      <alignment horizontal="center"/>
    </xf>
    <xf numFmtId="164" fontId="0" fillId="6" borderId="17" xfId="1" applyFont="1" applyFill="1" applyBorder="1" applyAlignment="1">
      <alignment horizontal="center"/>
    </xf>
    <xf numFmtId="0" fontId="0" fillId="0" borderId="13" xfId="0" applyBorder="1"/>
    <xf numFmtId="0" fontId="0" fillId="0" borderId="18" xfId="0" applyBorder="1"/>
  </cellXfs>
  <cellStyles count="3">
    <cellStyle name="Hyperlink" xfId="2" builtinId="8"/>
    <cellStyle name="Normal" xfId="0" builtinId="0"/>
    <cellStyle name="Normal 2" xfId="1"/>
  </cellStyles>
  <dxfs count="6">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pin" dx="16" fmlaLink="$G$5" max="4" min="1" page="10" val="4"/>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15</xdr:col>
      <xdr:colOff>0</xdr:colOff>
      <xdr:row>42</xdr:row>
      <xdr:rowOff>828675</xdr:rowOff>
    </xdr:from>
    <xdr:to>
      <xdr:col>17</xdr:col>
      <xdr:colOff>295275</xdr:colOff>
      <xdr:row>42</xdr:row>
      <xdr:rowOff>1362075</xdr:rowOff>
    </xdr:to>
    <xdr:pic>
      <xdr:nvPicPr>
        <xdr:cNvPr id="2051" name="Picture 30" descr="Good4.jpg"/>
        <xdr:cNvPicPr>
          <a:picLocks noChangeAspect="1" noChangeArrowheads="1"/>
        </xdr:cNvPicPr>
      </xdr:nvPicPr>
      <xdr:blipFill>
        <a:blip xmlns:r="http://schemas.openxmlformats.org/officeDocument/2006/relationships" r:embed="rId1"/>
        <a:srcRect/>
        <a:stretch>
          <a:fillRect/>
        </a:stretch>
      </xdr:blipFill>
      <xdr:spPr bwMode="auto">
        <a:xfrm>
          <a:off x="13392150" y="9010650"/>
          <a:ext cx="2428875" cy="533400"/>
        </a:xfrm>
        <a:prstGeom prst="rect">
          <a:avLst/>
        </a:prstGeom>
        <a:noFill/>
      </xdr:spPr>
    </xdr:pic>
    <xdr:clientData/>
  </xdr:twoCellAnchor>
  <xdr:twoCellAnchor>
    <xdr:from>
      <xdr:col>14</xdr:col>
      <xdr:colOff>581025</xdr:colOff>
      <xdr:row>5</xdr:row>
      <xdr:rowOff>161925</xdr:rowOff>
    </xdr:from>
    <xdr:to>
      <xdr:col>25</xdr:col>
      <xdr:colOff>533400</xdr:colOff>
      <xdr:row>70</xdr:row>
      <xdr:rowOff>9524</xdr:rowOff>
    </xdr:to>
    <xdr:grpSp>
      <xdr:nvGrpSpPr>
        <xdr:cNvPr id="15" name="Group 14"/>
        <xdr:cNvGrpSpPr/>
      </xdr:nvGrpSpPr>
      <xdr:grpSpPr>
        <a:xfrm>
          <a:off x="9648825" y="1693545"/>
          <a:ext cx="7115175" cy="11925299"/>
          <a:chOff x="9544050" y="504825"/>
          <a:chExt cx="6067425" cy="10934700"/>
        </a:xfrm>
      </xdr:grpSpPr>
      <xdr:pic>
        <xdr:nvPicPr>
          <xdr:cNvPr id="2057" name="Picture 9"/>
          <xdr:cNvPicPr>
            <a:picLocks noChangeAspect="1" noChangeArrowheads="1"/>
          </xdr:cNvPicPr>
        </xdr:nvPicPr>
        <xdr:blipFill>
          <a:blip xmlns:r="http://schemas.openxmlformats.org/officeDocument/2006/relationships" r:embed="rId2" cstate="print"/>
          <a:srcRect/>
          <a:stretch>
            <a:fillRect/>
          </a:stretch>
        </xdr:blipFill>
        <xdr:spPr bwMode="auto">
          <a:xfrm>
            <a:off x="9544050" y="504825"/>
            <a:ext cx="6067425" cy="8734425"/>
          </a:xfrm>
          <a:prstGeom prst="rect">
            <a:avLst/>
          </a:prstGeom>
          <a:noFill/>
          <a:ln w="1">
            <a:noFill/>
            <a:miter lim="800000"/>
            <a:headEnd/>
            <a:tailEnd type="none" w="med" len="med"/>
          </a:ln>
          <a:effectLst/>
        </xdr:spPr>
      </xdr:pic>
      <xdr:pic>
        <xdr:nvPicPr>
          <xdr:cNvPr id="2059" name="Picture 11"/>
          <xdr:cNvPicPr>
            <a:picLocks noChangeAspect="1" noChangeArrowheads="1"/>
          </xdr:cNvPicPr>
        </xdr:nvPicPr>
        <xdr:blipFill>
          <a:blip xmlns:r="http://schemas.openxmlformats.org/officeDocument/2006/relationships" r:embed="rId3" cstate="print"/>
          <a:srcRect/>
          <a:stretch>
            <a:fillRect/>
          </a:stretch>
        </xdr:blipFill>
        <xdr:spPr bwMode="auto">
          <a:xfrm>
            <a:off x="9582150" y="9220200"/>
            <a:ext cx="5991225" cy="2219325"/>
          </a:xfrm>
          <a:prstGeom prst="rect">
            <a:avLst/>
          </a:prstGeom>
          <a:noFill/>
          <a:ln w="1">
            <a:noFill/>
            <a:miter lim="800000"/>
            <a:headEnd/>
            <a:tailEnd type="none" w="med" len="med"/>
          </a:ln>
          <a:effectLst/>
        </xdr:spPr>
      </xdr:pic>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5010150</xdr:colOff>
          <xdr:row>4</xdr:row>
          <xdr:rowOff>0</xdr:rowOff>
        </xdr:from>
        <xdr:to>
          <xdr:col>1</xdr:col>
          <xdr:colOff>5314950</xdr:colOff>
          <xdr:row>5</xdr:row>
          <xdr:rowOff>0</xdr:rowOff>
        </xdr:to>
        <xdr:sp macro="" textlink="">
          <xdr:nvSpPr>
            <xdr:cNvPr id="1035" name="Spinner 11" hidden="1">
              <a:extLst>
                <a:ext uri="{63B3BB69-23CF-44E3-9099-C40C66FF867C}">
                  <a14:compatExt spid="_x0000_s1035"/>
                </a:ext>
              </a:extLst>
            </xdr:cNvPr>
            <xdr:cNvSpPr/>
          </xdr:nvSpPr>
          <xdr:spPr>
            <a:xfrm>
              <a:off x="0" y="0"/>
              <a:ext cx="0" cy="0"/>
            </a:xfrm>
            <a:prstGeom prst="rect">
              <a:avLst/>
            </a:prstGeom>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portal.nbnco.net.au/operationalhandover/QAProcess/Forms/AllItems.aspx?RootFolder=%2Foperationalhandover%2FQAProcess%2FQA%20WORKSHOP%20DRAFT%20PROCEDURES%2FWIRELESS%20QA"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F24"/>
  <sheetViews>
    <sheetView workbookViewId="0">
      <selection activeCell="B5" sqref="B5:E5"/>
    </sheetView>
  </sheetViews>
  <sheetFormatPr defaultRowHeight="15" x14ac:dyDescent="0.25"/>
  <cols>
    <col min="3" max="3" width="81" customWidth="1"/>
  </cols>
  <sheetData>
    <row r="1" spans="2:6" s="1" customFormat="1" x14ac:dyDescent="0.25"/>
    <row r="2" spans="2:6" s="1" customFormat="1" x14ac:dyDescent="0.25"/>
    <row r="3" spans="2:6" s="1" customFormat="1" ht="36" x14ac:dyDescent="0.25">
      <c r="B3" s="133" t="s">
        <v>48</v>
      </c>
      <c r="C3" s="133"/>
      <c r="D3" s="133"/>
      <c r="E3" s="133"/>
    </row>
    <row r="5" spans="2:6" ht="21" x14ac:dyDescent="0.35">
      <c r="B5" s="134" t="s">
        <v>55</v>
      </c>
      <c r="C5" s="134"/>
      <c r="D5" s="134"/>
      <c r="E5" s="134"/>
    </row>
    <row r="6" spans="2:6" x14ac:dyDescent="0.25">
      <c r="B6" s="55"/>
      <c r="C6" s="55"/>
      <c r="D6" s="55"/>
      <c r="E6" s="55"/>
    </row>
    <row r="7" spans="2:6" x14ac:dyDescent="0.25">
      <c r="B7" s="67" t="s">
        <v>56</v>
      </c>
      <c r="C7" s="55"/>
      <c r="D7" s="55"/>
      <c r="E7" s="55"/>
    </row>
    <row r="8" spans="2:6" x14ac:dyDescent="0.25">
      <c r="B8" s="67"/>
      <c r="C8" s="55"/>
      <c r="D8" s="55"/>
      <c r="E8" s="55"/>
      <c r="F8" s="55"/>
    </row>
    <row r="9" spans="2:6" x14ac:dyDescent="0.25">
      <c r="B9" s="67" t="s">
        <v>76</v>
      </c>
      <c r="C9" s="55"/>
      <c r="D9" s="55"/>
      <c r="E9" s="55"/>
    </row>
    <row r="10" spans="2:6" x14ac:dyDescent="0.25">
      <c r="B10" s="67" t="s">
        <v>75</v>
      </c>
      <c r="C10" s="55"/>
      <c r="D10" s="55"/>
      <c r="E10" s="55"/>
    </row>
    <row r="11" spans="2:6" s="1" customFormat="1" x14ac:dyDescent="0.25">
      <c r="B11" s="67"/>
      <c r="C11" s="55"/>
      <c r="D11" s="55"/>
      <c r="E11" s="55"/>
    </row>
    <row r="12" spans="2:6" x14ac:dyDescent="0.25">
      <c r="B12" s="137" t="s">
        <v>160</v>
      </c>
      <c r="C12" s="137"/>
      <c r="D12" s="137"/>
      <c r="E12" s="137"/>
    </row>
    <row r="13" spans="2:6" x14ac:dyDescent="0.25">
      <c r="B13" s="137"/>
      <c r="C13" s="137"/>
      <c r="D13" s="137"/>
      <c r="E13" s="137"/>
    </row>
    <row r="14" spans="2:6" x14ac:dyDescent="0.25">
      <c r="B14" s="95" t="s">
        <v>161</v>
      </c>
    </row>
    <row r="16" spans="2:6" ht="15.75" x14ac:dyDescent="0.25">
      <c r="B16" s="67" t="s">
        <v>80</v>
      </c>
      <c r="C16" s="55"/>
      <c r="D16" s="55"/>
      <c r="E16" s="55"/>
    </row>
    <row r="17" spans="2:5" x14ac:dyDescent="0.25">
      <c r="B17" s="135" t="s">
        <v>61</v>
      </c>
      <c r="C17" s="135"/>
      <c r="D17" s="135"/>
      <c r="E17" s="135"/>
    </row>
    <row r="18" spans="2:5" ht="15.75" thickBot="1" x14ac:dyDescent="0.3">
      <c r="B18" s="55"/>
      <c r="C18" s="55"/>
      <c r="D18" s="55"/>
      <c r="E18" s="55"/>
    </row>
    <row r="19" spans="2:5" ht="15.75" thickBot="1" x14ac:dyDescent="0.3">
      <c r="B19" s="130" t="s">
        <v>60</v>
      </c>
      <c r="C19" s="131"/>
      <c r="D19" s="131"/>
      <c r="E19" s="132"/>
    </row>
    <row r="20" spans="2:5" x14ac:dyDescent="0.25">
      <c r="B20" s="136" t="s">
        <v>58</v>
      </c>
      <c r="C20" s="136"/>
      <c r="D20" s="136"/>
      <c r="E20" s="136"/>
    </row>
    <row r="21" spans="2:5" x14ac:dyDescent="0.25">
      <c r="B21" s="129" t="s">
        <v>59</v>
      </c>
      <c r="C21" s="129"/>
      <c r="D21" s="129"/>
      <c r="E21" s="129"/>
    </row>
    <row r="22" spans="2:5" x14ac:dyDescent="0.25">
      <c r="B22" s="129" t="s">
        <v>73</v>
      </c>
      <c r="C22" s="129"/>
      <c r="D22" s="129"/>
      <c r="E22" s="129"/>
    </row>
    <row r="23" spans="2:5" x14ac:dyDescent="0.25">
      <c r="B23" s="129" t="s">
        <v>62</v>
      </c>
      <c r="C23" s="129"/>
      <c r="D23" s="129"/>
      <c r="E23" s="129"/>
    </row>
    <row r="24" spans="2:5" x14ac:dyDescent="0.25">
      <c r="B24" s="129" t="s">
        <v>63</v>
      </c>
      <c r="C24" s="129"/>
      <c r="D24" s="129"/>
      <c r="E24" s="129"/>
    </row>
  </sheetData>
  <mergeCells count="10">
    <mergeCell ref="B24:E24"/>
    <mergeCell ref="B22:E22"/>
    <mergeCell ref="B23:E23"/>
    <mergeCell ref="B19:E19"/>
    <mergeCell ref="B3:E3"/>
    <mergeCell ref="B5:E5"/>
    <mergeCell ref="B17:E17"/>
    <mergeCell ref="B21:E21"/>
    <mergeCell ref="B20:E20"/>
    <mergeCell ref="B12:E13"/>
  </mergeCells>
  <hyperlinks>
    <hyperlink ref="B14" location="'Image Req'!A1" display="'Image Req'"/>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AA71"/>
  <sheetViews>
    <sheetView zoomScaleNormal="100" workbookViewId="0"/>
  </sheetViews>
  <sheetFormatPr defaultRowHeight="15" x14ac:dyDescent="0.25"/>
  <cols>
    <col min="3" max="12" width="9.7109375" customWidth="1"/>
    <col min="16" max="25" width="9.5703125" customWidth="1"/>
  </cols>
  <sheetData>
    <row r="2" spans="2:27" ht="18" x14ac:dyDescent="0.25">
      <c r="C2" s="138" t="s">
        <v>153</v>
      </c>
      <c r="D2" s="138"/>
      <c r="E2" s="138"/>
      <c r="F2" s="138"/>
      <c r="G2" s="138"/>
      <c r="H2" s="138"/>
      <c r="I2" s="138"/>
      <c r="J2" s="138"/>
      <c r="K2" s="138"/>
      <c r="L2" s="138"/>
    </row>
    <row r="3" spans="2:27" ht="55.5" customHeight="1" x14ac:dyDescent="0.25">
      <c r="C3" s="177" t="s">
        <v>159</v>
      </c>
      <c r="D3" s="177"/>
      <c r="E3" s="177"/>
      <c r="F3" s="177"/>
      <c r="G3" s="177"/>
      <c r="H3" s="177"/>
      <c r="I3" s="177"/>
      <c r="J3" s="177"/>
      <c r="K3" s="177"/>
      <c r="L3" s="177"/>
      <c r="M3" s="1"/>
      <c r="N3" s="1"/>
      <c r="O3" s="3"/>
      <c r="P3" s="3"/>
      <c r="Q3" s="3"/>
      <c r="R3" s="3"/>
      <c r="S3" s="3"/>
      <c r="T3" s="3"/>
      <c r="U3" s="3"/>
      <c r="V3" s="3"/>
      <c r="W3" s="3"/>
      <c r="X3" s="3"/>
      <c r="Y3" s="3"/>
      <c r="Z3" s="3"/>
      <c r="AA3" s="3"/>
    </row>
    <row r="4" spans="2:27" s="1" customFormat="1" ht="15.75" x14ac:dyDescent="0.25">
      <c r="C4" s="178" t="s">
        <v>154</v>
      </c>
      <c r="D4" s="178"/>
      <c r="E4" s="178"/>
      <c r="F4" s="178"/>
      <c r="G4" s="178"/>
      <c r="H4" s="178"/>
      <c r="I4" s="178"/>
      <c r="J4" s="178"/>
      <c r="K4" s="178"/>
      <c r="L4" s="178"/>
      <c r="O4" s="3"/>
      <c r="P4" s="3"/>
      <c r="Q4" s="3"/>
      <c r="R4" s="3"/>
      <c r="S4" s="3"/>
      <c r="T4" s="3"/>
      <c r="U4" s="3"/>
      <c r="V4" s="3"/>
      <c r="W4" s="3"/>
      <c r="X4" s="3"/>
      <c r="Y4" s="3"/>
      <c r="Z4" s="3"/>
      <c r="AA4" s="3"/>
    </row>
    <row r="5" spans="2:27" ht="18" x14ac:dyDescent="0.25">
      <c r="B5" s="96"/>
      <c r="C5" s="164" t="s">
        <v>85</v>
      </c>
      <c r="D5" s="164"/>
      <c r="E5" s="164"/>
      <c r="F5" s="164"/>
      <c r="G5" s="164"/>
      <c r="H5" s="164"/>
      <c r="I5" s="164"/>
      <c r="J5" s="164"/>
      <c r="K5" s="164"/>
      <c r="L5" s="164"/>
      <c r="M5" s="97"/>
      <c r="O5" s="96"/>
      <c r="P5" s="164" t="s">
        <v>150</v>
      </c>
      <c r="Q5" s="164"/>
      <c r="R5" s="164"/>
      <c r="S5" s="164"/>
      <c r="T5" s="164"/>
      <c r="U5" s="164"/>
      <c r="V5" s="164"/>
      <c r="W5" s="164"/>
      <c r="X5" s="164"/>
      <c r="Y5" s="164"/>
      <c r="Z5" s="164"/>
      <c r="AA5" s="97"/>
    </row>
    <row r="6" spans="2:27" ht="15" customHeight="1" x14ac:dyDescent="0.25">
      <c r="B6" s="98"/>
      <c r="C6" s="144" t="s">
        <v>86</v>
      </c>
      <c r="D6" s="144"/>
      <c r="E6" s="144"/>
      <c r="F6" s="144"/>
      <c r="G6" s="144"/>
      <c r="H6" s="144"/>
      <c r="I6" s="144"/>
      <c r="J6" s="144"/>
      <c r="K6" s="144"/>
      <c r="L6" s="144"/>
      <c r="M6" s="99"/>
      <c r="O6" s="98"/>
      <c r="P6" s="3"/>
      <c r="Q6" s="3"/>
      <c r="R6" s="3"/>
      <c r="S6" s="3"/>
      <c r="T6" s="3"/>
      <c r="U6" s="3"/>
      <c r="V6" s="3"/>
      <c r="W6" s="3"/>
      <c r="X6" s="3"/>
      <c r="Y6" s="3"/>
      <c r="Z6" s="3"/>
      <c r="AA6" s="99"/>
    </row>
    <row r="7" spans="2:27" ht="15" customHeight="1" x14ac:dyDescent="0.25">
      <c r="B7" s="98"/>
      <c r="C7" s="144"/>
      <c r="D7" s="144"/>
      <c r="E7" s="144"/>
      <c r="F7" s="144"/>
      <c r="G7" s="144"/>
      <c r="H7" s="144"/>
      <c r="I7" s="144"/>
      <c r="J7" s="144"/>
      <c r="K7" s="144"/>
      <c r="L7" s="144"/>
      <c r="M7" s="99"/>
      <c r="O7" s="98"/>
      <c r="P7" s="3"/>
      <c r="Q7" s="3"/>
      <c r="R7" s="3"/>
      <c r="S7" s="3"/>
      <c r="T7" s="3"/>
      <c r="U7" s="3"/>
      <c r="V7" s="3"/>
      <c r="W7" s="3"/>
      <c r="X7" s="3"/>
      <c r="Y7" s="3"/>
      <c r="Z7" s="3"/>
      <c r="AA7" s="99"/>
    </row>
    <row r="8" spans="2:27" ht="15" customHeight="1" x14ac:dyDescent="0.25">
      <c r="B8" s="98"/>
      <c r="C8" s="163" t="s">
        <v>87</v>
      </c>
      <c r="D8" s="163"/>
      <c r="E8" s="163"/>
      <c r="F8" s="163"/>
      <c r="G8" s="163"/>
      <c r="H8" s="163"/>
      <c r="I8" s="163"/>
      <c r="J8" s="163"/>
      <c r="K8" s="163"/>
      <c r="L8" s="163"/>
      <c r="M8" s="99"/>
      <c r="O8" s="98"/>
      <c r="P8" s="3"/>
      <c r="Q8" s="3"/>
      <c r="R8" s="3"/>
      <c r="S8" s="3"/>
      <c r="T8" s="3"/>
      <c r="U8" s="3"/>
      <c r="V8" s="3"/>
      <c r="W8" s="3"/>
      <c r="X8" s="3"/>
      <c r="Y8" s="3"/>
      <c r="Z8" s="3"/>
      <c r="AA8" s="99"/>
    </row>
    <row r="9" spans="2:27" ht="15" customHeight="1" x14ac:dyDescent="0.25">
      <c r="B9" s="98"/>
      <c r="C9" s="163" t="s">
        <v>88</v>
      </c>
      <c r="D9" s="163"/>
      <c r="E9" s="163"/>
      <c r="F9" s="163"/>
      <c r="G9" s="163"/>
      <c r="H9" s="163"/>
      <c r="I9" s="163"/>
      <c r="J9" s="163"/>
      <c r="K9" s="163"/>
      <c r="L9" s="163"/>
      <c r="M9" s="99"/>
      <c r="O9" s="98"/>
      <c r="P9" s="3"/>
      <c r="Q9" s="3"/>
      <c r="R9" s="3"/>
      <c r="S9" s="3"/>
      <c r="T9" s="3"/>
      <c r="U9" s="3"/>
      <c r="V9" s="3"/>
      <c r="W9" s="3"/>
      <c r="X9" s="3"/>
      <c r="Y9" s="3"/>
      <c r="Z9" s="3"/>
      <c r="AA9" s="99"/>
    </row>
    <row r="10" spans="2:27" ht="15" customHeight="1" x14ac:dyDescent="0.25">
      <c r="B10" s="98"/>
      <c r="C10" s="163" t="s">
        <v>89</v>
      </c>
      <c r="D10" s="163"/>
      <c r="E10" s="163"/>
      <c r="F10" s="163"/>
      <c r="G10" s="163"/>
      <c r="H10" s="163"/>
      <c r="I10" s="163"/>
      <c r="J10" s="163"/>
      <c r="K10" s="163"/>
      <c r="L10" s="163"/>
      <c r="M10" s="99"/>
      <c r="O10" s="98"/>
      <c r="P10" s="3"/>
      <c r="Q10" s="3"/>
      <c r="R10" s="3"/>
      <c r="S10" s="3"/>
      <c r="T10" s="3"/>
      <c r="U10" s="3"/>
      <c r="V10" s="3"/>
      <c r="W10" s="3"/>
      <c r="X10" s="3"/>
      <c r="Y10" s="3"/>
      <c r="Z10" s="3"/>
      <c r="AA10" s="99"/>
    </row>
    <row r="11" spans="2:27" ht="15" customHeight="1" x14ac:dyDescent="0.25">
      <c r="B11" s="98"/>
      <c r="C11" s="163" t="s">
        <v>90</v>
      </c>
      <c r="D11" s="163"/>
      <c r="E11" s="163"/>
      <c r="F11" s="163"/>
      <c r="G11" s="163"/>
      <c r="H11" s="163"/>
      <c r="I11" s="163"/>
      <c r="J11" s="163"/>
      <c r="K11" s="163"/>
      <c r="L11" s="163"/>
      <c r="M11" s="99"/>
      <c r="O11" s="98"/>
      <c r="P11" s="3"/>
      <c r="Q11" s="3"/>
      <c r="R11" s="3"/>
      <c r="S11" s="3"/>
      <c r="T11" s="3"/>
      <c r="U11" s="3"/>
      <c r="V11" s="3"/>
      <c r="W11" s="3"/>
      <c r="X11" s="3"/>
      <c r="Y11" s="3"/>
      <c r="Z11" s="3"/>
      <c r="AA11" s="99"/>
    </row>
    <row r="12" spans="2:27" ht="15.75" customHeight="1" x14ac:dyDescent="0.25">
      <c r="B12" s="98"/>
      <c r="C12" s="163" t="s">
        <v>91</v>
      </c>
      <c r="D12" s="163"/>
      <c r="E12" s="163"/>
      <c r="F12" s="163"/>
      <c r="G12" s="163"/>
      <c r="H12" s="163"/>
      <c r="I12" s="163"/>
      <c r="J12" s="163"/>
      <c r="K12" s="163"/>
      <c r="L12" s="163"/>
      <c r="M12" s="99"/>
      <c r="O12" s="98"/>
      <c r="P12" s="3"/>
      <c r="Q12" s="3"/>
      <c r="R12" s="3"/>
      <c r="S12" s="3"/>
      <c r="T12" s="3"/>
      <c r="U12" s="3"/>
      <c r="V12" s="3"/>
      <c r="W12" s="3"/>
      <c r="X12" s="3"/>
      <c r="Y12" s="3"/>
      <c r="Z12" s="3"/>
      <c r="AA12" s="99"/>
    </row>
    <row r="13" spans="2:27" x14ac:dyDescent="0.25">
      <c r="B13" s="98"/>
      <c r="C13" s="163" t="s">
        <v>92</v>
      </c>
      <c r="D13" s="163"/>
      <c r="E13" s="163"/>
      <c r="F13" s="163"/>
      <c r="G13" s="163"/>
      <c r="H13" s="163"/>
      <c r="I13" s="163"/>
      <c r="J13" s="163"/>
      <c r="K13" s="163"/>
      <c r="L13" s="163"/>
      <c r="M13" s="99"/>
      <c r="O13" s="98"/>
      <c r="P13" s="3"/>
      <c r="Q13" s="3"/>
      <c r="R13" s="3"/>
      <c r="S13" s="3"/>
      <c r="T13" s="3"/>
      <c r="U13" s="3"/>
      <c r="V13" s="3"/>
      <c r="W13" s="3"/>
      <c r="X13" s="3"/>
      <c r="Y13" s="3"/>
      <c r="Z13" s="3"/>
      <c r="AA13" s="99"/>
    </row>
    <row r="14" spans="2:27" x14ac:dyDescent="0.25">
      <c r="B14" s="98"/>
      <c r="C14" s="163" t="s">
        <v>93</v>
      </c>
      <c r="D14" s="163"/>
      <c r="E14" s="163"/>
      <c r="F14" s="163"/>
      <c r="G14" s="163"/>
      <c r="H14" s="163"/>
      <c r="I14" s="163"/>
      <c r="J14" s="163"/>
      <c r="K14" s="163"/>
      <c r="L14" s="163"/>
      <c r="M14" s="99"/>
      <c r="O14" s="98"/>
      <c r="P14" s="3"/>
      <c r="Q14" s="3"/>
      <c r="R14" s="3"/>
      <c r="S14" s="3"/>
      <c r="T14" s="3"/>
      <c r="U14" s="3"/>
      <c r="V14" s="3"/>
      <c r="W14" s="3"/>
      <c r="X14" s="3"/>
      <c r="Y14" s="3"/>
      <c r="Z14" s="3"/>
      <c r="AA14" s="99"/>
    </row>
    <row r="15" spans="2:27" x14ac:dyDescent="0.25">
      <c r="B15" s="98"/>
      <c r="C15" s="163" t="s">
        <v>94</v>
      </c>
      <c r="D15" s="163"/>
      <c r="E15" s="163"/>
      <c r="F15" s="163"/>
      <c r="G15" s="163"/>
      <c r="H15" s="163"/>
      <c r="I15" s="163"/>
      <c r="J15" s="163"/>
      <c r="K15" s="163"/>
      <c r="L15" s="163"/>
      <c r="M15" s="99"/>
      <c r="O15" s="98"/>
      <c r="P15" s="3"/>
      <c r="Q15" s="3"/>
      <c r="R15" s="3"/>
      <c r="S15" s="3"/>
      <c r="T15" s="3"/>
      <c r="U15" s="3"/>
      <c r="V15" s="3"/>
      <c r="W15" s="3"/>
      <c r="X15" s="3"/>
      <c r="Y15" s="3"/>
      <c r="Z15" s="3"/>
      <c r="AA15" s="99"/>
    </row>
    <row r="16" spans="2:27" x14ac:dyDescent="0.25">
      <c r="B16" s="98"/>
      <c r="C16" s="144" t="s">
        <v>95</v>
      </c>
      <c r="D16" s="144"/>
      <c r="E16" s="144"/>
      <c r="F16" s="144"/>
      <c r="G16" s="144"/>
      <c r="H16" s="144"/>
      <c r="I16" s="144"/>
      <c r="J16" s="144"/>
      <c r="K16" s="144"/>
      <c r="L16" s="144"/>
      <c r="M16" s="99"/>
      <c r="O16" s="98"/>
      <c r="P16" s="3"/>
      <c r="Q16" s="3"/>
      <c r="R16" s="3"/>
      <c r="S16" s="3"/>
      <c r="T16" s="3"/>
      <c r="U16" s="3"/>
      <c r="V16" s="3"/>
      <c r="W16" s="3"/>
      <c r="X16" s="3"/>
      <c r="Y16" s="3"/>
      <c r="Z16" s="3"/>
      <c r="AA16" s="99"/>
    </row>
    <row r="17" spans="2:27" x14ac:dyDescent="0.25">
      <c r="B17" s="98"/>
      <c r="C17" s="144"/>
      <c r="D17" s="144"/>
      <c r="E17" s="144"/>
      <c r="F17" s="144"/>
      <c r="G17" s="144"/>
      <c r="H17" s="144"/>
      <c r="I17" s="144"/>
      <c r="J17" s="144"/>
      <c r="K17" s="144"/>
      <c r="L17" s="144"/>
      <c r="M17" s="99"/>
      <c r="O17" s="98"/>
      <c r="P17" s="3"/>
      <c r="Q17" s="3"/>
      <c r="R17" s="3"/>
      <c r="S17" s="3"/>
      <c r="T17" s="3"/>
      <c r="U17" s="3"/>
      <c r="V17" s="3"/>
      <c r="W17" s="3"/>
      <c r="X17" s="3"/>
      <c r="Y17" s="3"/>
      <c r="Z17" s="3"/>
      <c r="AA17" s="99"/>
    </row>
    <row r="18" spans="2:27" x14ac:dyDescent="0.25">
      <c r="B18" s="98"/>
      <c r="C18" s="144"/>
      <c r="D18" s="144"/>
      <c r="E18" s="144"/>
      <c r="F18" s="144"/>
      <c r="G18" s="144"/>
      <c r="H18" s="144"/>
      <c r="I18" s="144"/>
      <c r="J18" s="144"/>
      <c r="K18" s="144"/>
      <c r="L18" s="144"/>
      <c r="M18" s="99"/>
      <c r="O18" s="98"/>
      <c r="P18" s="3"/>
      <c r="Q18" s="3"/>
      <c r="R18" s="3"/>
      <c r="S18" s="3"/>
      <c r="T18" s="3"/>
      <c r="U18" s="3"/>
      <c r="V18" s="3"/>
      <c r="W18" s="3"/>
      <c r="X18" s="3"/>
      <c r="Y18" s="3"/>
      <c r="Z18" s="3"/>
      <c r="AA18" s="99"/>
    </row>
    <row r="19" spans="2:27" ht="15" customHeight="1" x14ac:dyDescent="0.25">
      <c r="B19" s="98"/>
      <c r="C19" s="144" t="s">
        <v>96</v>
      </c>
      <c r="D19" s="144"/>
      <c r="E19" s="144"/>
      <c r="F19" s="144"/>
      <c r="G19" s="144"/>
      <c r="H19" s="144"/>
      <c r="I19" s="144"/>
      <c r="J19" s="144"/>
      <c r="K19" s="144"/>
      <c r="L19" s="144"/>
      <c r="M19" s="99"/>
      <c r="O19" s="98"/>
      <c r="P19" s="3"/>
      <c r="Q19" s="3"/>
      <c r="R19" s="3"/>
      <c r="S19" s="3"/>
      <c r="T19" s="3"/>
      <c r="U19" s="3"/>
      <c r="V19" s="3"/>
      <c r="W19" s="3"/>
      <c r="X19" s="3"/>
      <c r="Y19" s="3"/>
      <c r="Z19" s="3"/>
      <c r="AA19" s="99"/>
    </row>
    <row r="20" spans="2:27" ht="15.75" thickBot="1" x14ac:dyDescent="0.3">
      <c r="B20" s="98"/>
      <c r="C20" s="144"/>
      <c r="D20" s="144"/>
      <c r="E20" s="144"/>
      <c r="F20" s="144"/>
      <c r="G20" s="144"/>
      <c r="H20" s="144"/>
      <c r="I20" s="144"/>
      <c r="J20" s="144"/>
      <c r="K20" s="144"/>
      <c r="L20" s="144"/>
      <c r="M20" s="99"/>
      <c r="O20" s="98"/>
      <c r="P20" s="3"/>
      <c r="Q20" s="3"/>
      <c r="R20" s="3"/>
      <c r="S20" s="3"/>
      <c r="T20" s="3"/>
      <c r="U20" s="3"/>
      <c r="V20" s="3"/>
      <c r="W20" s="3"/>
      <c r="X20" s="3"/>
      <c r="Y20" s="3"/>
      <c r="Z20" s="3"/>
      <c r="AA20" s="99"/>
    </row>
    <row r="21" spans="2:27" x14ac:dyDescent="0.25">
      <c r="B21" s="98"/>
      <c r="C21" s="165" t="s">
        <v>97</v>
      </c>
      <c r="D21" s="166"/>
      <c r="E21" s="166"/>
      <c r="F21" s="166"/>
      <c r="G21" s="166" t="s">
        <v>98</v>
      </c>
      <c r="H21" s="166"/>
      <c r="I21" s="166"/>
      <c r="J21" s="166"/>
      <c r="K21" s="166"/>
      <c r="L21" s="176"/>
      <c r="M21" s="99"/>
      <c r="O21" s="98"/>
      <c r="P21" s="3"/>
      <c r="Q21" s="3"/>
      <c r="R21" s="3"/>
      <c r="S21" s="3"/>
      <c r="T21" s="3"/>
      <c r="U21" s="3"/>
      <c r="V21" s="3"/>
      <c r="W21" s="3"/>
      <c r="X21" s="3"/>
      <c r="Y21" s="3"/>
      <c r="Z21" s="3"/>
      <c r="AA21" s="99"/>
    </row>
    <row r="22" spans="2:27" ht="15.75" customHeight="1" x14ac:dyDescent="0.25">
      <c r="B22" s="98"/>
      <c r="C22" s="167" t="s">
        <v>99</v>
      </c>
      <c r="D22" s="168"/>
      <c r="E22" s="168"/>
      <c r="F22" s="168"/>
      <c r="G22" s="156" t="s">
        <v>100</v>
      </c>
      <c r="H22" s="156"/>
      <c r="I22" s="156"/>
      <c r="J22" s="156"/>
      <c r="K22" s="156"/>
      <c r="L22" s="157"/>
      <c r="M22" s="99"/>
      <c r="O22" s="98"/>
      <c r="P22" s="3"/>
      <c r="Q22" s="3"/>
      <c r="R22" s="3"/>
      <c r="S22" s="3"/>
      <c r="T22" s="3"/>
      <c r="U22" s="3"/>
      <c r="V22" s="3"/>
      <c r="W22" s="3"/>
      <c r="X22" s="3"/>
      <c r="Y22" s="3"/>
      <c r="Z22" s="3"/>
      <c r="AA22" s="99"/>
    </row>
    <row r="23" spans="2:27" x14ac:dyDescent="0.25">
      <c r="B23" s="98"/>
      <c r="C23" s="167" t="s">
        <v>101</v>
      </c>
      <c r="D23" s="168"/>
      <c r="E23" s="168"/>
      <c r="F23" s="168"/>
      <c r="G23" s="156" t="s">
        <v>102</v>
      </c>
      <c r="H23" s="156"/>
      <c r="I23" s="156"/>
      <c r="J23" s="156"/>
      <c r="K23" s="156"/>
      <c r="L23" s="157"/>
      <c r="M23" s="99"/>
      <c r="O23" s="98"/>
      <c r="P23" s="3"/>
      <c r="Q23" s="3"/>
      <c r="R23" s="3"/>
      <c r="S23" s="3"/>
      <c r="T23" s="3"/>
      <c r="U23" s="3"/>
      <c r="V23" s="3"/>
      <c r="W23" s="3"/>
      <c r="X23" s="3"/>
      <c r="Y23" s="3"/>
      <c r="Z23" s="3"/>
      <c r="AA23" s="99"/>
    </row>
    <row r="24" spans="2:27" x14ac:dyDescent="0.25">
      <c r="B24" s="98"/>
      <c r="C24" s="167" t="s">
        <v>103</v>
      </c>
      <c r="D24" s="168"/>
      <c r="E24" s="168"/>
      <c r="F24" s="168"/>
      <c r="G24" s="156" t="s">
        <v>104</v>
      </c>
      <c r="H24" s="156"/>
      <c r="I24" s="156"/>
      <c r="J24" s="156"/>
      <c r="K24" s="156"/>
      <c r="L24" s="157"/>
      <c r="M24" s="99"/>
      <c r="O24" s="98"/>
      <c r="P24" s="3"/>
      <c r="Q24" s="3"/>
      <c r="R24" s="3"/>
      <c r="S24" s="3"/>
      <c r="T24" s="3"/>
      <c r="U24" s="3"/>
      <c r="V24" s="3"/>
      <c r="W24" s="3"/>
      <c r="X24" s="3"/>
      <c r="Y24" s="3"/>
      <c r="Z24" s="3"/>
      <c r="AA24" s="99"/>
    </row>
    <row r="25" spans="2:27" x14ac:dyDescent="0.25">
      <c r="B25" s="98"/>
      <c r="C25" s="167" t="s">
        <v>105</v>
      </c>
      <c r="D25" s="168"/>
      <c r="E25" s="168"/>
      <c r="F25" s="168"/>
      <c r="G25" s="156" t="s">
        <v>106</v>
      </c>
      <c r="H25" s="156"/>
      <c r="I25" s="156"/>
      <c r="J25" s="156"/>
      <c r="K25" s="156"/>
      <c r="L25" s="157"/>
      <c r="M25" s="99"/>
      <c r="O25" s="98"/>
      <c r="P25" s="3"/>
      <c r="Q25" s="3"/>
      <c r="R25" s="3"/>
      <c r="S25" s="3"/>
      <c r="T25" s="3"/>
      <c r="U25" s="3"/>
      <c r="V25" s="3"/>
      <c r="W25" s="3"/>
      <c r="X25" s="3"/>
      <c r="Y25" s="3"/>
      <c r="Z25" s="3"/>
      <c r="AA25" s="99"/>
    </row>
    <row r="26" spans="2:27" x14ac:dyDescent="0.25">
      <c r="B26" s="98"/>
      <c r="C26" s="167"/>
      <c r="D26" s="168"/>
      <c r="E26" s="168"/>
      <c r="F26" s="168"/>
      <c r="G26" s="156" t="s">
        <v>107</v>
      </c>
      <c r="H26" s="156"/>
      <c r="I26" s="156"/>
      <c r="J26" s="156"/>
      <c r="K26" s="156"/>
      <c r="L26" s="157"/>
      <c r="M26" s="99"/>
      <c r="O26" s="98"/>
      <c r="P26" s="3"/>
      <c r="Q26" s="3"/>
      <c r="R26" s="3"/>
      <c r="S26" s="3"/>
      <c r="T26" s="3"/>
      <c r="U26" s="3"/>
      <c r="V26" s="3"/>
      <c r="W26" s="3"/>
      <c r="X26" s="3"/>
      <c r="Y26" s="3"/>
      <c r="Z26" s="3"/>
      <c r="AA26" s="99"/>
    </row>
    <row r="27" spans="2:27" x14ac:dyDescent="0.25">
      <c r="B27" s="98"/>
      <c r="C27" s="167" t="s">
        <v>108</v>
      </c>
      <c r="D27" s="168"/>
      <c r="E27" s="168"/>
      <c r="F27" s="168"/>
      <c r="G27" s="156" t="s">
        <v>109</v>
      </c>
      <c r="H27" s="156"/>
      <c r="I27" s="156"/>
      <c r="J27" s="156"/>
      <c r="K27" s="156"/>
      <c r="L27" s="157"/>
      <c r="M27" s="99"/>
      <c r="O27" s="98"/>
      <c r="P27" s="3"/>
      <c r="Q27" s="3"/>
      <c r="R27" s="3"/>
      <c r="S27" s="3"/>
      <c r="T27" s="3"/>
      <c r="U27" s="3"/>
      <c r="V27" s="3"/>
      <c r="W27" s="3"/>
      <c r="X27" s="3"/>
      <c r="Y27" s="3"/>
      <c r="Z27" s="3"/>
      <c r="AA27" s="99"/>
    </row>
    <row r="28" spans="2:27" x14ac:dyDescent="0.25">
      <c r="B28" s="98"/>
      <c r="C28" s="167" t="s">
        <v>110</v>
      </c>
      <c r="D28" s="168"/>
      <c r="E28" s="168"/>
      <c r="F28" s="168"/>
      <c r="G28" s="156" t="s">
        <v>111</v>
      </c>
      <c r="H28" s="156"/>
      <c r="I28" s="156"/>
      <c r="J28" s="156"/>
      <c r="K28" s="156"/>
      <c r="L28" s="157"/>
      <c r="M28" s="99"/>
      <c r="O28" s="98"/>
      <c r="P28" s="3"/>
      <c r="Q28" s="3"/>
      <c r="R28" s="3"/>
      <c r="S28" s="3"/>
      <c r="T28" s="3"/>
      <c r="U28" s="3"/>
      <c r="V28" s="3"/>
      <c r="W28" s="3"/>
      <c r="X28" s="3"/>
      <c r="Y28" s="3"/>
      <c r="Z28" s="3"/>
      <c r="AA28" s="99"/>
    </row>
    <row r="29" spans="2:27" x14ac:dyDescent="0.25">
      <c r="B29" s="98"/>
      <c r="C29" s="154" t="s">
        <v>112</v>
      </c>
      <c r="D29" s="155"/>
      <c r="E29" s="155"/>
      <c r="F29" s="155"/>
      <c r="G29" s="156" t="s">
        <v>157</v>
      </c>
      <c r="H29" s="156"/>
      <c r="I29" s="156"/>
      <c r="J29" s="156"/>
      <c r="K29" s="156"/>
      <c r="L29" s="157"/>
      <c r="M29" s="99"/>
      <c r="O29" s="98"/>
      <c r="P29" s="3"/>
      <c r="Q29" s="3"/>
      <c r="R29" s="3"/>
      <c r="S29" s="3"/>
      <c r="T29" s="3"/>
      <c r="U29" s="3"/>
      <c r="V29" s="3"/>
      <c r="W29" s="3"/>
      <c r="X29" s="3"/>
      <c r="Y29" s="3"/>
      <c r="Z29" s="3"/>
      <c r="AA29" s="99"/>
    </row>
    <row r="30" spans="2:27" x14ac:dyDescent="0.25">
      <c r="B30" s="98"/>
      <c r="C30" s="154" t="s">
        <v>113</v>
      </c>
      <c r="D30" s="155"/>
      <c r="E30" s="155"/>
      <c r="F30" s="155"/>
      <c r="G30" s="156" t="s">
        <v>114</v>
      </c>
      <c r="H30" s="156"/>
      <c r="I30" s="156"/>
      <c r="J30" s="156"/>
      <c r="K30" s="156"/>
      <c r="L30" s="157"/>
      <c r="M30" s="99"/>
      <c r="O30" s="98"/>
      <c r="P30" s="3"/>
      <c r="Q30" s="3"/>
      <c r="R30" s="3"/>
      <c r="S30" s="3"/>
      <c r="T30" s="3"/>
      <c r="U30" s="3"/>
      <c r="V30" s="3"/>
      <c r="W30" s="3"/>
      <c r="X30" s="3"/>
      <c r="Y30" s="3"/>
      <c r="Z30" s="3"/>
      <c r="AA30" s="99"/>
    </row>
    <row r="31" spans="2:27" s="1" customFormat="1" x14ac:dyDescent="0.25">
      <c r="B31" s="98"/>
      <c r="C31" s="154"/>
      <c r="D31" s="155"/>
      <c r="E31" s="155"/>
      <c r="F31" s="155"/>
      <c r="G31" s="146" t="s">
        <v>155</v>
      </c>
      <c r="H31" s="147"/>
      <c r="I31" s="147"/>
      <c r="J31" s="147"/>
      <c r="K31" s="147"/>
      <c r="L31" s="148"/>
      <c r="M31" s="99"/>
      <c r="O31" s="98"/>
      <c r="P31" s="3"/>
      <c r="Q31" s="3"/>
      <c r="R31" s="3"/>
      <c r="S31" s="3"/>
      <c r="T31" s="3"/>
      <c r="U31" s="3"/>
      <c r="V31" s="3"/>
      <c r="W31" s="3"/>
      <c r="X31" s="3"/>
      <c r="Y31" s="3"/>
      <c r="Z31" s="3"/>
      <c r="AA31" s="99"/>
    </row>
    <row r="32" spans="2:27" x14ac:dyDescent="0.25">
      <c r="B32" s="98"/>
      <c r="C32" s="154"/>
      <c r="D32" s="155"/>
      <c r="E32" s="155"/>
      <c r="F32" s="155"/>
      <c r="G32" s="149"/>
      <c r="H32" s="150"/>
      <c r="I32" s="150"/>
      <c r="J32" s="150"/>
      <c r="K32" s="150"/>
      <c r="L32" s="151"/>
      <c r="M32" s="99"/>
      <c r="O32" s="98"/>
      <c r="P32" s="3"/>
      <c r="Q32" s="3"/>
      <c r="R32" s="3"/>
      <c r="S32" s="3"/>
      <c r="T32" s="3"/>
      <c r="U32" s="3"/>
      <c r="V32" s="3"/>
      <c r="W32" s="3"/>
      <c r="X32" s="3"/>
      <c r="Y32" s="3"/>
      <c r="Z32" s="3"/>
      <c r="AA32" s="99"/>
    </row>
    <row r="33" spans="2:27" x14ac:dyDescent="0.25">
      <c r="B33" s="98"/>
      <c r="C33" s="154" t="s">
        <v>115</v>
      </c>
      <c r="D33" s="155"/>
      <c r="E33" s="155"/>
      <c r="F33" s="155"/>
      <c r="G33" s="156" t="s">
        <v>116</v>
      </c>
      <c r="H33" s="156"/>
      <c r="I33" s="156"/>
      <c r="J33" s="156"/>
      <c r="K33" s="156"/>
      <c r="L33" s="157"/>
      <c r="M33" s="99"/>
      <c r="O33" s="98"/>
      <c r="P33" s="3"/>
      <c r="Q33" s="3"/>
      <c r="R33" s="3"/>
      <c r="S33" s="3"/>
      <c r="T33" s="3"/>
      <c r="U33" s="3"/>
      <c r="V33" s="3"/>
      <c r="W33" s="3"/>
      <c r="X33" s="3"/>
      <c r="Y33" s="3"/>
      <c r="Z33" s="3"/>
      <c r="AA33" s="99"/>
    </row>
    <row r="34" spans="2:27" ht="15.75" thickBot="1" x14ac:dyDescent="0.3">
      <c r="B34" s="98"/>
      <c r="C34" s="152" t="s">
        <v>117</v>
      </c>
      <c r="D34" s="153"/>
      <c r="E34" s="153"/>
      <c r="F34" s="153"/>
      <c r="G34" s="158" t="s">
        <v>156</v>
      </c>
      <c r="H34" s="158"/>
      <c r="I34" s="158"/>
      <c r="J34" s="158"/>
      <c r="K34" s="158"/>
      <c r="L34" s="159"/>
      <c r="M34" s="99"/>
      <c r="O34" s="98"/>
      <c r="P34" s="3"/>
      <c r="Q34" s="3"/>
      <c r="R34" s="3"/>
      <c r="S34" s="3"/>
      <c r="T34" s="3"/>
      <c r="U34" s="3"/>
      <c r="V34" s="3"/>
      <c r="W34" s="3"/>
      <c r="X34" s="3"/>
      <c r="Y34" s="3"/>
      <c r="Z34" s="3"/>
      <c r="AA34" s="99"/>
    </row>
    <row r="35" spans="2:27" ht="15.75" x14ac:dyDescent="0.25">
      <c r="B35" s="98"/>
      <c r="C35" s="3"/>
      <c r="D35" s="3"/>
      <c r="E35" s="3"/>
      <c r="F35" s="3"/>
      <c r="G35" s="172" t="s">
        <v>158</v>
      </c>
      <c r="H35" s="172"/>
      <c r="I35" s="172"/>
      <c r="J35" s="172"/>
      <c r="K35" s="172"/>
      <c r="L35" s="172"/>
      <c r="M35" s="99"/>
      <c r="O35" s="98"/>
      <c r="P35" s="3"/>
      <c r="Q35" s="3"/>
      <c r="R35" s="3"/>
      <c r="S35" s="3"/>
      <c r="T35" s="3"/>
      <c r="U35" s="3"/>
      <c r="V35" s="3"/>
      <c r="W35" s="3"/>
      <c r="X35" s="3"/>
      <c r="Y35" s="3"/>
      <c r="Z35" s="3"/>
      <c r="AA35" s="99"/>
    </row>
    <row r="36" spans="2:27" ht="15" customHeight="1" x14ac:dyDescent="0.25">
      <c r="B36" s="98"/>
      <c r="C36" s="145" t="s">
        <v>118</v>
      </c>
      <c r="D36" s="145"/>
      <c r="E36" s="145"/>
      <c r="F36" s="145"/>
      <c r="G36" s="145"/>
      <c r="H36" s="145"/>
      <c r="I36" s="145"/>
      <c r="J36" s="145"/>
      <c r="K36" s="145"/>
      <c r="L36" s="145"/>
      <c r="M36" s="99"/>
      <c r="O36" s="98"/>
      <c r="P36" s="3"/>
      <c r="Q36" s="3"/>
      <c r="R36" s="3"/>
      <c r="S36" s="3"/>
      <c r="T36" s="3"/>
      <c r="U36" s="3"/>
      <c r="V36" s="3"/>
      <c r="W36" s="3"/>
      <c r="X36" s="3"/>
      <c r="Y36" s="3"/>
      <c r="Z36" s="3"/>
      <c r="AA36" s="99"/>
    </row>
    <row r="37" spans="2:27" ht="15" customHeight="1" x14ac:dyDescent="0.25">
      <c r="B37" s="98"/>
      <c r="C37" s="144" t="s">
        <v>119</v>
      </c>
      <c r="D37" s="144"/>
      <c r="E37" s="144"/>
      <c r="F37" s="144"/>
      <c r="G37" s="144"/>
      <c r="H37" s="144"/>
      <c r="I37" s="144"/>
      <c r="J37" s="144"/>
      <c r="K37" s="144"/>
      <c r="L37" s="144"/>
      <c r="M37" s="99"/>
      <c r="O37" s="98"/>
      <c r="P37" s="3"/>
      <c r="Q37" s="3"/>
      <c r="R37" s="3"/>
      <c r="S37" s="3"/>
      <c r="T37" s="3"/>
      <c r="U37" s="3"/>
      <c r="V37" s="3"/>
      <c r="W37" s="3"/>
      <c r="X37" s="3"/>
      <c r="Y37" s="3"/>
      <c r="Z37" s="3"/>
      <c r="AA37" s="99"/>
    </row>
    <row r="38" spans="2:27" x14ac:dyDescent="0.25">
      <c r="B38" s="98"/>
      <c r="C38" s="144"/>
      <c r="D38" s="144"/>
      <c r="E38" s="144"/>
      <c r="F38" s="144"/>
      <c r="G38" s="144"/>
      <c r="H38" s="144"/>
      <c r="I38" s="144"/>
      <c r="J38" s="144"/>
      <c r="K38" s="144"/>
      <c r="L38" s="144"/>
      <c r="M38" s="99"/>
      <c r="O38" s="98"/>
      <c r="P38" s="3"/>
      <c r="Q38" s="3"/>
      <c r="R38" s="3"/>
      <c r="S38" s="3"/>
      <c r="T38" s="3"/>
      <c r="U38" s="3"/>
      <c r="V38" s="3"/>
      <c r="W38" s="3"/>
      <c r="X38" s="3"/>
      <c r="Y38" s="3"/>
      <c r="Z38" s="3"/>
      <c r="AA38" s="99"/>
    </row>
    <row r="39" spans="2:27" ht="15.75" thickBot="1" x14ac:dyDescent="0.3">
      <c r="B39" s="98"/>
      <c r="C39" s="143" t="s">
        <v>97</v>
      </c>
      <c r="D39" s="141"/>
      <c r="E39" s="141"/>
      <c r="F39" s="141"/>
      <c r="G39" s="141" t="s">
        <v>120</v>
      </c>
      <c r="H39" s="141"/>
      <c r="I39" s="141"/>
      <c r="J39" s="141"/>
      <c r="K39" s="141"/>
      <c r="L39" s="142"/>
      <c r="M39" s="99"/>
      <c r="O39" s="98"/>
      <c r="P39" s="3"/>
      <c r="Q39" s="3"/>
      <c r="R39" s="3"/>
      <c r="S39" s="3"/>
      <c r="T39" s="3"/>
      <c r="U39" s="3"/>
      <c r="V39" s="3"/>
      <c r="W39" s="3"/>
      <c r="X39" s="3"/>
      <c r="Y39" s="3"/>
      <c r="Z39" s="3"/>
      <c r="AA39" s="99"/>
    </row>
    <row r="40" spans="2:27" x14ac:dyDescent="0.25">
      <c r="B40" s="98"/>
      <c r="C40" s="162" t="s">
        <v>121</v>
      </c>
      <c r="D40" s="139"/>
      <c r="E40" s="139"/>
      <c r="F40" s="139"/>
      <c r="G40" s="139" t="s">
        <v>122</v>
      </c>
      <c r="H40" s="139"/>
      <c r="I40" s="139"/>
      <c r="J40" s="139"/>
      <c r="K40" s="139"/>
      <c r="L40" s="140"/>
      <c r="M40" s="99"/>
      <c r="O40" s="98"/>
      <c r="P40" s="3"/>
      <c r="Q40" s="3"/>
      <c r="R40" s="3"/>
      <c r="S40" s="3"/>
      <c r="T40" s="3"/>
      <c r="U40" s="3"/>
      <c r="V40" s="3"/>
      <c r="W40" s="3"/>
      <c r="X40" s="3"/>
      <c r="Y40" s="3"/>
      <c r="Z40" s="3"/>
      <c r="AA40" s="99"/>
    </row>
    <row r="41" spans="2:27" x14ac:dyDescent="0.25">
      <c r="B41" s="98"/>
      <c r="C41" s="160" t="s">
        <v>123</v>
      </c>
      <c r="D41" s="161"/>
      <c r="E41" s="161"/>
      <c r="F41" s="161"/>
      <c r="G41" s="161" t="s">
        <v>124</v>
      </c>
      <c r="H41" s="161"/>
      <c r="I41" s="161"/>
      <c r="J41" s="161"/>
      <c r="K41" s="161"/>
      <c r="L41" s="175"/>
      <c r="M41" s="99"/>
      <c r="O41" s="98"/>
      <c r="P41" s="3"/>
      <c r="Q41" s="3"/>
      <c r="R41" s="3"/>
      <c r="S41" s="3"/>
      <c r="T41" s="3"/>
      <c r="U41" s="3"/>
      <c r="V41" s="3"/>
      <c r="W41" s="3"/>
      <c r="X41" s="3"/>
      <c r="Y41" s="3"/>
      <c r="Z41" s="3"/>
      <c r="AA41" s="99"/>
    </row>
    <row r="42" spans="2:27" x14ac:dyDescent="0.25">
      <c r="B42" s="98"/>
      <c r="C42" s="160" t="s">
        <v>125</v>
      </c>
      <c r="D42" s="161"/>
      <c r="E42" s="161"/>
      <c r="F42" s="161"/>
      <c r="G42" s="161" t="s">
        <v>126</v>
      </c>
      <c r="H42" s="161"/>
      <c r="I42" s="161"/>
      <c r="J42" s="161"/>
      <c r="K42" s="161"/>
      <c r="L42" s="175"/>
      <c r="M42" s="99"/>
      <c r="O42" s="98"/>
      <c r="P42" s="3"/>
      <c r="Q42" s="3"/>
      <c r="R42" s="3"/>
      <c r="S42" s="3"/>
      <c r="T42" s="3"/>
      <c r="U42" s="3"/>
      <c r="V42" s="3"/>
      <c r="W42" s="3"/>
      <c r="X42" s="3"/>
      <c r="Y42" s="3"/>
      <c r="Z42" s="3"/>
      <c r="AA42" s="99"/>
    </row>
    <row r="43" spans="2:27" ht="15.75" thickBot="1" x14ac:dyDescent="0.3">
      <c r="B43" s="98"/>
      <c r="C43" s="169" t="s">
        <v>127</v>
      </c>
      <c r="D43" s="170"/>
      <c r="E43" s="170"/>
      <c r="F43" s="170"/>
      <c r="G43" s="170" t="s">
        <v>128</v>
      </c>
      <c r="H43" s="170"/>
      <c r="I43" s="170"/>
      <c r="J43" s="170"/>
      <c r="K43" s="170"/>
      <c r="L43" s="174"/>
      <c r="M43" s="99"/>
      <c r="O43" s="98"/>
      <c r="P43" s="3"/>
      <c r="Q43" s="3"/>
      <c r="R43" s="3"/>
      <c r="S43" s="3"/>
      <c r="T43" s="3"/>
      <c r="U43" s="3"/>
      <c r="V43" s="3"/>
      <c r="W43" s="3"/>
      <c r="X43" s="3"/>
      <c r="Y43" s="3"/>
      <c r="Z43" s="3"/>
      <c r="AA43" s="99"/>
    </row>
    <row r="44" spans="2:27" x14ac:dyDescent="0.25">
      <c r="B44" s="98"/>
      <c r="C44" s="3"/>
      <c r="D44" s="3"/>
      <c r="E44" s="3"/>
      <c r="F44" s="3"/>
      <c r="G44" s="3"/>
      <c r="H44" s="3"/>
      <c r="I44" s="3"/>
      <c r="J44" s="3"/>
      <c r="K44" s="3"/>
      <c r="L44" s="3"/>
      <c r="M44" s="99"/>
      <c r="O44" s="98"/>
      <c r="P44" s="3"/>
      <c r="Q44" s="3"/>
      <c r="R44" s="3"/>
      <c r="S44" s="3"/>
      <c r="T44" s="3"/>
      <c r="U44" s="3"/>
      <c r="V44" s="3"/>
      <c r="W44" s="3"/>
      <c r="X44" s="3"/>
      <c r="Y44" s="3"/>
      <c r="Z44" s="3"/>
      <c r="AA44" s="99"/>
    </row>
    <row r="45" spans="2:27" x14ac:dyDescent="0.25">
      <c r="B45" s="98"/>
      <c r="C45" s="103" t="s">
        <v>129</v>
      </c>
      <c r="D45" s="3"/>
      <c r="E45" s="3"/>
      <c r="F45" s="3"/>
      <c r="G45" s="3"/>
      <c r="H45" s="3"/>
      <c r="I45" s="3"/>
      <c r="J45" s="3"/>
      <c r="K45" s="3"/>
      <c r="L45" s="3"/>
      <c r="M45" s="99"/>
      <c r="O45" s="98"/>
      <c r="P45" s="3"/>
      <c r="Q45" s="3"/>
      <c r="R45" s="3"/>
      <c r="S45" s="3"/>
      <c r="T45" s="3"/>
      <c r="U45" s="3"/>
      <c r="V45" s="3"/>
      <c r="W45" s="3"/>
      <c r="X45" s="3"/>
      <c r="Y45" s="3"/>
      <c r="Z45" s="3"/>
      <c r="AA45" s="99"/>
    </row>
    <row r="46" spans="2:27" x14ac:dyDescent="0.25">
      <c r="B46" s="98"/>
      <c r="C46" s="104" t="s">
        <v>130</v>
      </c>
      <c r="D46" s="105"/>
      <c r="E46" s="3"/>
      <c r="F46" s="3"/>
      <c r="G46" s="3"/>
      <c r="H46" s="3"/>
      <c r="I46" s="3"/>
      <c r="J46" s="3"/>
      <c r="K46" s="3"/>
      <c r="L46" s="3"/>
      <c r="M46" s="99"/>
      <c r="O46" s="98"/>
      <c r="P46" s="3"/>
      <c r="Q46" s="3"/>
      <c r="R46" s="3"/>
      <c r="S46" s="3"/>
      <c r="T46" s="3"/>
      <c r="U46" s="3"/>
      <c r="V46" s="3"/>
      <c r="W46" s="3"/>
      <c r="X46" s="3"/>
      <c r="Y46" s="3"/>
      <c r="Z46" s="3"/>
      <c r="AA46" s="99"/>
    </row>
    <row r="47" spans="2:27" x14ac:dyDescent="0.25">
      <c r="B47" s="98"/>
      <c r="C47" s="171" t="s">
        <v>131</v>
      </c>
      <c r="D47" s="171"/>
      <c r="E47" s="171"/>
      <c r="F47" s="171"/>
      <c r="G47" s="171"/>
      <c r="H47" s="171"/>
      <c r="I47" s="171"/>
      <c r="J47" s="171"/>
      <c r="K47" s="171"/>
      <c r="L47" s="171"/>
      <c r="M47" s="99"/>
      <c r="O47" s="98"/>
      <c r="P47" s="3"/>
      <c r="Q47" s="3"/>
      <c r="R47" s="3"/>
      <c r="S47" s="3"/>
      <c r="T47" s="3"/>
      <c r="U47" s="3"/>
      <c r="V47" s="3"/>
      <c r="W47" s="3"/>
      <c r="X47" s="3"/>
      <c r="Y47" s="3"/>
      <c r="Z47" s="3"/>
      <c r="AA47" s="99"/>
    </row>
    <row r="48" spans="2:27" x14ac:dyDescent="0.25">
      <c r="B48" s="98"/>
      <c r="C48" s="171"/>
      <c r="D48" s="171"/>
      <c r="E48" s="171"/>
      <c r="F48" s="171"/>
      <c r="G48" s="171"/>
      <c r="H48" s="171"/>
      <c r="I48" s="171"/>
      <c r="J48" s="171"/>
      <c r="K48" s="171"/>
      <c r="L48" s="171"/>
      <c r="M48" s="99"/>
      <c r="O48" s="98"/>
      <c r="P48" s="3"/>
      <c r="Q48" s="3"/>
      <c r="R48" s="3"/>
      <c r="S48" s="3"/>
      <c r="T48" s="3"/>
      <c r="U48" s="3"/>
      <c r="V48" s="3"/>
      <c r="W48" s="3"/>
      <c r="X48" s="3"/>
      <c r="Y48" s="3"/>
      <c r="Z48" s="3"/>
      <c r="AA48" s="99"/>
    </row>
    <row r="49" spans="2:27" x14ac:dyDescent="0.25">
      <c r="B49" s="98"/>
      <c r="C49" s="163" t="s">
        <v>132</v>
      </c>
      <c r="D49" s="163"/>
      <c r="E49" s="163"/>
      <c r="F49" s="163"/>
      <c r="G49" s="163"/>
      <c r="H49" s="163"/>
      <c r="I49" s="163"/>
      <c r="J49" s="163"/>
      <c r="K49" s="163"/>
      <c r="L49" s="163"/>
      <c r="M49" s="99"/>
      <c r="O49" s="98"/>
      <c r="P49" s="3"/>
      <c r="Q49" s="3"/>
      <c r="R49" s="3"/>
      <c r="S49" s="3"/>
      <c r="T49" s="3"/>
      <c r="U49" s="3"/>
      <c r="V49" s="3"/>
      <c r="W49" s="3"/>
      <c r="X49" s="3"/>
      <c r="Y49" s="3"/>
      <c r="Z49" s="3"/>
      <c r="AA49" s="99"/>
    </row>
    <row r="50" spans="2:27" x14ac:dyDescent="0.25">
      <c r="B50" s="98"/>
      <c r="C50" s="163" t="s">
        <v>133</v>
      </c>
      <c r="D50" s="163"/>
      <c r="E50" s="163"/>
      <c r="F50" s="163"/>
      <c r="G50" s="163"/>
      <c r="H50" s="163"/>
      <c r="I50" s="163"/>
      <c r="J50" s="163"/>
      <c r="K50" s="163"/>
      <c r="L50" s="163"/>
      <c r="M50" s="99"/>
      <c r="O50" s="98"/>
      <c r="P50" s="3"/>
      <c r="Q50" s="3"/>
      <c r="R50" s="3"/>
      <c r="S50" s="3"/>
      <c r="T50" s="3"/>
      <c r="U50" s="3"/>
      <c r="V50" s="3"/>
      <c r="W50" s="3"/>
      <c r="X50" s="3"/>
      <c r="Y50" s="3"/>
      <c r="Z50" s="3"/>
      <c r="AA50" s="99"/>
    </row>
    <row r="51" spans="2:27" x14ac:dyDescent="0.25">
      <c r="B51" s="98"/>
      <c r="C51" s="163" t="s">
        <v>134</v>
      </c>
      <c r="D51" s="163"/>
      <c r="E51" s="163"/>
      <c r="F51" s="163"/>
      <c r="G51" s="163"/>
      <c r="H51" s="163"/>
      <c r="I51" s="163"/>
      <c r="J51" s="163"/>
      <c r="K51" s="163"/>
      <c r="L51" s="163"/>
      <c r="M51" s="99"/>
      <c r="O51" s="98"/>
      <c r="P51" s="3"/>
      <c r="Q51" s="3"/>
      <c r="R51" s="3"/>
      <c r="S51" s="3"/>
      <c r="T51" s="3"/>
      <c r="U51" s="3"/>
      <c r="V51" s="3"/>
      <c r="W51" s="3"/>
      <c r="X51" s="3"/>
      <c r="Y51" s="3"/>
      <c r="Z51" s="3"/>
      <c r="AA51" s="99"/>
    </row>
    <row r="52" spans="2:27" x14ac:dyDescent="0.25">
      <c r="B52" s="98"/>
      <c r="C52" s="163" t="s">
        <v>135</v>
      </c>
      <c r="D52" s="163"/>
      <c r="E52" s="163"/>
      <c r="F52" s="163"/>
      <c r="G52" s="163"/>
      <c r="H52" s="163"/>
      <c r="I52" s="163"/>
      <c r="J52" s="163"/>
      <c r="K52" s="163"/>
      <c r="L52" s="163"/>
      <c r="M52" s="99"/>
      <c r="O52" s="98"/>
      <c r="P52" s="3"/>
      <c r="Q52" s="3"/>
      <c r="R52" s="3"/>
      <c r="S52" s="3"/>
      <c r="T52" s="3"/>
      <c r="U52" s="3"/>
      <c r="V52" s="3"/>
      <c r="W52" s="3"/>
      <c r="X52" s="3"/>
      <c r="Y52" s="3"/>
      <c r="Z52" s="3"/>
      <c r="AA52" s="99"/>
    </row>
    <row r="53" spans="2:27" x14ac:dyDescent="0.25">
      <c r="B53" s="98"/>
      <c r="C53" s="163" t="s">
        <v>136</v>
      </c>
      <c r="D53" s="163"/>
      <c r="E53" s="163"/>
      <c r="F53" s="163"/>
      <c r="G53" s="163"/>
      <c r="H53" s="163"/>
      <c r="I53" s="163"/>
      <c r="J53" s="163"/>
      <c r="K53" s="163"/>
      <c r="L53" s="163"/>
      <c r="M53" s="99"/>
      <c r="O53" s="98"/>
      <c r="P53" s="3"/>
      <c r="Q53" s="3"/>
      <c r="R53" s="3"/>
      <c r="S53" s="3"/>
      <c r="T53" s="3"/>
      <c r="U53" s="3"/>
      <c r="V53" s="3"/>
      <c r="W53" s="3"/>
      <c r="X53" s="3"/>
      <c r="Y53" s="3"/>
      <c r="Z53" s="3"/>
      <c r="AA53" s="99"/>
    </row>
    <row r="54" spans="2:27" x14ac:dyDescent="0.25">
      <c r="B54" s="98"/>
      <c r="C54" s="163" t="s">
        <v>137</v>
      </c>
      <c r="D54" s="163"/>
      <c r="E54" s="163"/>
      <c r="F54" s="163"/>
      <c r="G54" s="163"/>
      <c r="H54" s="163"/>
      <c r="I54" s="163"/>
      <c r="J54" s="163"/>
      <c r="K54" s="163"/>
      <c r="L54" s="163"/>
      <c r="M54" s="99"/>
      <c r="O54" s="98"/>
      <c r="P54" s="3"/>
      <c r="Q54" s="3"/>
      <c r="R54" s="3"/>
      <c r="S54" s="3"/>
      <c r="T54" s="3"/>
      <c r="U54" s="3"/>
      <c r="V54" s="3"/>
      <c r="W54" s="3"/>
      <c r="X54" s="3"/>
      <c r="Y54" s="3"/>
      <c r="Z54" s="3"/>
      <c r="AA54" s="99"/>
    </row>
    <row r="55" spans="2:27" x14ac:dyDescent="0.25">
      <c r="B55" s="98"/>
      <c r="C55" s="163" t="s">
        <v>138</v>
      </c>
      <c r="D55" s="163"/>
      <c r="E55" s="163"/>
      <c r="F55" s="163"/>
      <c r="G55" s="163"/>
      <c r="H55" s="163"/>
      <c r="I55" s="163"/>
      <c r="J55" s="163"/>
      <c r="K55" s="163"/>
      <c r="L55" s="163"/>
      <c r="M55" s="99"/>
      <c r="O55" s="98"/>
      <c r="P55" s="3"/>
      <c r="Q55" s="3"/>
      <c r="R55" s="3"/>
      <c r="S55" s="3"/>
      <c r="T55" s="3"/>
      <c r="U55" s="3"/>
      <c r="V55" s="3"/>
      <c r="W55" s="3"/>
      <c r="X55" s="3"/>
      <c r="Y55" s="3"/>
      <c r="Z55" s="3"/>
      <c r="AA55" s="99"/>
    </row>
    <row r="56" spans="2:27" x14ac:dyDescent="0.25">
      <c r="B56" s="98"/>
      <c r="C56" s="173" t="s">
        <v>139</v>
      </c>
      <c r="D56" s="173"/>
      <c r="E56" s="173"/>
      <c r="F56" s="173"/>
      <c r="G56" s="173"/>
      <c r="H56" s="173"/>
      <c r="I56" s="173"/>
      <c r="J56" s="173"/>
      <c r="K56" s="173"/>
      <c r="L56" s="173"/>
      <c r="M56" s="99"/>
      <c r="O56" s="98"/>
      <c r="P56" s="3"/>
      <c r="Q56" s="3"/>
      <c r="R56" s="3"/>
      <c r="S56" s="3"/>
      <c r="T56" s="3"/>
      <c r="U56" s="3"/>
      <c r="V56" s="3"/>
      <c r="W56" s="3"/>
      <c r="X56" s="3"/>
      <c r="Y56" s="3"/>
      <c r="Z56" s="3"/>
      <c r="AA56" s="99"/>
    </row>
    <row r="57" spans="2:27" x14ac:dyDescent="0.25">
      <c r="B57" s="98"/>
      <c r="C57" s="173"/>
      <c r="D57" s="173"/>
      <c r="E57" s="173"/>
      <c r="F57" s="173"/>
      <c r="G57" s="173"/>
      <c r="H57" s="173"/>
      <c r="I57" s="173"/>
      <c r="J57" s="173"/>
      <c r="K57" s="173"/>
      <c r="L57" s="173"/>
      <c r="M57" s="99"/>
      <c r="O57" s="98"/>
      <c r="P57" s="3"/>
      <c r="Q57" s="3"/>
      <c r="R57" s="3"/>
      <c r="S57" s="3"/>
      <c r="T57" s="3"/>
      <c r="U57" s="3"/>
      <c r="V57" s="3"/>
      <c r="W57" s="3"/>
      <c r="X57" s="3"/>
      <c r="Y57" s="3"/>
      <c r="Z57" s="3"/>
      <c r="AA57" s="99"/>
    </row>
    <row r="58" spans="2:27" x14ac:dyDescent="0.25">
      <c r="B58" s="98"/>
      <c r="C58" s="163" t="s">
        <v>140</v>
      </c>
      <c r="D58" s="163"/>
      <c r="E58" s="163"/>
      <c r="F58" s="163"/>
      <c r="G58" s="163"/>
      <c r="H58" s="163"/>
      <c r="I58" s="163"/>
      <c r="J58" s="163"/>
      <c r="K58" s="163"/>
      <c r="L58" s="163"/>
      <c r="M58" s="99"/>
      <c r="O58" s="98"/>
      <c r="P58" s="3"/>
      <c r="Q58" s="3"/>
      <c r="R58" s="3"/>
      <c r="S58" s="3"/>
      <c r="T58" s="3"/>
      <c r="U58" s="3"/>
      <c r="V58" s="3"/>
      <c r="W58" s="3"/>
      <c r="X58" s="3"/>
      <c r="Y58" s="3"/>
      <c r="Z58" s="3"/>
      <c r="AA58" s="99"/>
    </row>
    <row r="59" spans="2:27" x14ac:dyDescent="0.25">
      <c r="B59" s="98"/>
      <c r="C59" s="173" t="s">
        <v>141</v>
      </c>
      <c r="D59" s="173"/>
      <c r="E59" s="173"/>
      <c r="F59" s="173"/>
      <c r="G59" s="173"/>
      <c r="H59" s="173"/>
      <c r="I59" s="173"/>
      <c r="J59" s="173"/>
      <c r="K59" s="173"/>
      <c r="L59" s="173"/>
      <c r="M59" s="99"/>
      <c r="O59" s="98"/>
      <c r="P59" s="3"/>
      <c r="Q59" s="3"/>
      <c r="R59" s="3"/>
      <c r="S59" s="3"/>
      <c r="T59" s="3"/>
      <c r="U59" s="3"/>
      <c r="V59" s="3"/>
      <c r="W59" s="3"/>
      <c r="X59" s="3"/>
      <c r="Y59" s="3"/>
      <c r="Z59" s="3"/>
      <c r="AA59" s="99"/>
    </row>
    <row r="60" spans="2:27" x14ac:dyDescent="0.25">
      <c r="B60" s="98"/>
      <c r="C60" s="173"/>
      <c r="D60" s="173"/>
      <c r="E60" s="173"/>
      <c r="F60" s="173"/>
      <c r="G60" s="173"/>
      <c r="H60" s="173"/>
      <c r="I60" s="173"/>
      <c r="J60" s="173"/>
      <c r="K60" s="173"/>
      <c r="L60" s="173"/>
      <c r="M60" s="99"/>
      <c r="O60" s="98"/>
      <c r="P60" s="3"/>
      <c r="Q60" s="3"/>
      <c r="R60" s="3"/>
      <c r="S60" s="3"/>
      <c r="T60" s="3"/>
      <c r="U60" s="3"/>
      <c r="V60" s="3"/>
      <c r="W60" s="3"/>
      <c r="X60" s="3"/>
      <c r="Y60" s="3"/>
      <c r="Z60" s="3"/>
      <c r="AA60" s="99"/>
    </row>
    <row r="61" spans="2:27" x14ac:dyDescent="0.25">
      <c r="B61" s="98"/>
      <c r="C61" s="173" t="s">
        <v>142</v>
      </c>
      <c r="D61" s="173"/>
      <c r="E61" s="173"/>
      <c r="F61" s="173"/>
      <c r="G61" s="173"/>
      <c r="H61" s="173"/>
      <c r="I61" s="173"/>
      <c r="J61" s="173"/>
      <c r="K61" s="173"/>
      <c r="L61" s="173"/>
      <c r="M61" s="99"/>
      <c r="O61" s="98"/>
      <c r="P61" s="3"/>
      <c r="Q61" s="3"/>
      <c r="R61" s="3"/>
      <c r="S61" s="3"/>
      <c r="T61" s="3"/>
      <c r="U61" s="3"/>
      <c r="V61" s="3"/>
      <c r="W61" s="3"/>
      <c r="X61" s="3"/>
      <c r="Y61" s="3"/>
      <c r="Z61" s="3"/>
      <c r="AA61" s="99"/>
    </row>
    <row r="62" spans="2:27" x14ac:dyDescent="0.25">
      <c r="B62" s="98"/>
      <c r="C62" s="173"/>
      <c r="D62" s="173"/>
      <c r="E62" s="173"/>
      <c r="F62" s="173"/>
      <c r="G62" s="173"/>
      <c r="H62" s="173"/>
      <c r="I62" s="173"/>
      <c r="J62" s="173"/>
      <c r="K62" s="173"/>
      <c r="L62" s="173"/>
      <c r="M62" s="99"/>
      <c r="O62" s="98"/>
      <c r="P62" s="3"/>
      <c r="Q62" s="3"/>
      <c r="R62" s="3"/>
      <c r="S62" s="3"/>
      <c r="T62" s="3"/>
      <c r="U62" s="3"/>
      <c r="V62" s="3"/>
      <c r="W62" s="3"/>
      <c r="X62" s="3"/>
      <c r="Y62" s="3"/>
      <c r="Z62" s="3"/>
      <c r="AA62" s="99"/>
    </row>
    <row r="63" spans="2:27" x14ac:dyDescent="0.25">
      <c r="B63" s="98"/>
      <c r="C63" s="106"/>
      <c r="D63" s="106"/>
      <c r="E63" s="106"/>
      <c r="F63" s="106"/>
      <c r="G63" s="106"/>
      <c r="H63" s="106"/>
      <c r="I63" s="106"/>
      <c r="J63" s="106"/>
      <c r="K63" s="106"/>
      <c r="L63" s="106"/>
      <c r="M63" s="99"/>
      <c r="O63" s="98"/>
      <c r="P63" s="3"/>
      <c r="Q63" s="3"/>
      <c r="R63" s="3"/>
      <c r="S63" s="3"/>
      <c r="T63" s="3"/>
      <c r="U63" s="3"/>
      <c r="V63" s="3"/>
      <c r="W63" s="3"/>
      <c r="X63" s="3"/>
      <c r="Y63" s="3"/>
      <c r="Z63" s="3"/>
      <c r="AA63" s="99"/>
    </row>
    <row r="64" spans="2:27" x14ac:dyDescent="0.25">
      <c r="B64" s="98"/>
      <c r="C64" s="104" t="s">
        <v>143</v>
      </c>
      <c r="D64" s="105"/>
      <c r="E64" s="3"/>
      <c r="F64" s="3"/>
      <c r="G64" s="3"/>
      <c r="H64" s="3"/>
      <c r="I64" s="3"/>
      <c r="J64" s="3"/>
      <c r="K64" s="3"/>
      <c r="L64" s="3"/>
      <c r="M64" s="99"/>
      <c r="O64" s="98"/>
      <c r="P64" s="3"/>
      <c r="Q64" s="3"/>
      <c r="R64" s="3"/>
      <c r="S64" s="3"/>
      <c r="T64" s="3"/>
      <c r="U64" s="3"/>
      <c r="V64" s="3"/>
      <c r="W64" s="3"/>
      <c r="X64" s="3"/>
      <c r="Y64" s="3"/>
      <c r="Z64" s="3"/>
      <c r="AA64" s="99"/>
    </row>
    <row r="65" spans="2:27" x14ac:dyDescent="0.25">
      <c r="B65" s="98"/>
      <c r="C65" s="107" t="s">
        <v>144</v>
      </c>
      <c r="D65" s="105"/>
      <c r="E65" s="3"/>
      <c r="F65" s="3"/>
      <c r="G65" s="3"/>
      <c r="H65" s="3"/>
      <c r="I65" s="3"/>
      <c r="J65" s="3"/>
      <c r="K65" s="3"/>
      <c r="L65" s="3"/>
      <c r="M65" s="99"/>
      <c r="O65" s="98"/>
      <c r="P65" s="3"/>
      <c r="Q65" s="3"/>
      <c r="R65" s="3"/>
      <c r="S65" s="3"/>
      <c r="T65" s="3"/>
      <c r="U65" s="3"/>
      <c r="V65" s="3"/>
      <c r="W65" s="3"/>
      <c r="X65" s="3"/>
      <c r="Y65" s="3"/>
      <c r="Z65" s="3"/>
      <c r="AA65" s="99"/>
    </row>
    <row r="66" spans="2:27" x14ac:dyDescent="0.25">
      <c r="B66" s="98"/>
      <c r="C66" s="107" t="s">
        <v>145</v>
      </c>
      <c r="D66" s="105"/>
      <c r="E66" s="3"/>
      <c r="F66" s="3"/>
      <c r="G66" s="3"/>
      <c r="H66" s="3"/>
      <c r="I66" s="3"/>
      <c r="J66" s="3"/>
      <c r="K66" s="3"/>
      <c r="L66" s="3"/>
      <c r="M66" s="99"/>
      <c r="O66" s="98"/>
      <c r="P66" s="3"/>
      <c r="Q66" s="3"/>
      <c r="R66" s="3"/>
      <c r="S66" s="3"/>
      <c r="T66" s="3"/>
      <c r="U66" s="3"/>
      <c r="V66" s="3"/>
      <c r="W66" s="3"/>
      <c r="X66" s="3"/>
      <c r="Y66" s="3"/>
      <c r="Z66" s="3"/>
      <c r="AA66" s="99"/>
    </row>
    <row r="67" spans="2:27" x14ac:dyDescent="0.25">
      <c r="B67" s="98"/>
      <c r="C67" s="107" t="s">
        <v>146</v>
      </c>
      <c r="D67" s="105"/>
      <c r="E67" s="3"/>
      <c r="F67" s="3"/>
      <c r="G67" s="3"/>
      <c r="H67" s="3"/>
      <c r="I67" s="3"/>
      <c r="J67" s="3"/>
      <c r="K67" s="3"/>
      <c r="L67" s="3"/>
      <c r="M67" s="99"/>
      <c r="O67" s="98"/>
      <c r="P67" s="3"/>
      <c r="Q67" s="3"/>
      <c r="R67" s="3"/>
      <c r="S67" s="3"/>
      <c r="T67" s="3"/>
      <c r="U67" s="3"/>
      <c r="V67" s="3"/>
      <c r="W67" s="3"/>
      <c r="X67" s="3"/>
      <c r="Y67" s="3"/>
      <c r="Z67" s="3"/>
      <c r="AA67" s="99"/>
    </row>
    <row r="68" spans="2:27" x14ac:dyDescent="0.25">
      <c r="B68" s="98"/>
      <c r="C68" s="171" t="s">
        <v>147</v>
      </c>
      <c r="D68" s="171"/>
      <c r="E68" s="171"/>
      <c r="F68" s="171"/>
      <c r="G68" s="171"/>
      <c r="H68" s="171"/>
      <c r="I68" s="171"/>
      <c r="J68" s="171"/>
      <c r="K68" s="171"/>
      <c r="L68" s="171"/>
      <c r="M68" s="99"/>
      <c r="O68" s="98"/>
      <c r="P68" s="3"/>
      <c r="Q68" s="3"/>
      <c r="R68" s="3"/>
      <c r="S68" s="3"/>
      <c r="T68" s="3"/>
      <c r="U68" s="3"/>
      <c r="V68" s="3"/>
      <c r="W68" s="3"/>
      <c r="X68" s="3"/>
      <c r="Y68" s="3"/>
      <c r="Z68" s="3"/>
      <c r="AA68" s="99"/>
    </row>
    <row r="69" spans="2:27" x14ac:dyDescent="0.25">
      <c r="B69" s="98"/>
      <c r="C69" s="171"/>
      <c r="D69" s="171"/>
      <c r="E69" s="171"/>
      <c r="F69" s="171"/>
      <c r="G69" s="171"/>
      <c r="H69" s="171"/>
      <c r="I69" s="171"/>
      <c r="J69" s="171"/>
      <c r="K69" s="171"/>
      <c r="L69" s="171"/>
      <c r="M69" s="99"/>
      <c r="O69" s="98"/>
      <c r="P69" s="3"/>
      <c r="Q69" s="3"/>
      <c r="R69" s="3"/>
      <c r="S69" s="3"/>
      <c r="T69" s="3"/>
      <c r="U69" s="3"/>
      <c r="V69" s="3"/>
      <c r="W69" s="3"/>
      <c r="X69" s="3"/>
      <c r="Y69" s="3"/>
      <c r="Z69" s="3"/>
      <c r="AA69" s="99"/>
    </row>
    <row r="70" spans="2:27" x14ac:dyDescent="0.25">
      <c r="B70" s="98"/>
      <c r="C70" s="107" t="s">
        <v>148</v>
      </c>
      <c r="D70" s="105"/>
      <c r="E70" s="3"/>
      <c r="F70" s="3"/>
      <c r="G70" s="3"/>
      <c r="H70" s="3"/>
      <c r="I70" s="3"/>
      <c r="J70" s="3"/>
      <c r="K70" s="3"/>
      <c r="L70" s="3"/>
      <c r="M70" s="99"/>
      <c r="O70" s="98"/>
      <c r="P70" s="3"/>
      <c r="Q70" s="3"/>
      <c r="R70" s="3"/>
      <c r="S70" s="3"/>
      <c r="T70" s="3"/>
      <c r="U70" s="3"/>
      <c r="V70" s="3"/>
      <c r="W70" s="3"/>
      <c r="X70" s="3"/>
      <c r="Y70" s="3"/>
      <c r="Z70" s="3"/>
      <c r="AA70" s="99"/>
    </row>
    <row r="71" spans="2:27" x14ac:dyDescent="0.25">
      <c r="B71" s="100"/>
      <c r="C71" s="108" t="s">
        <v>149</v>
      </c>
      <c r="D71" s="109"/>
      <c r="E71" s="101"/>
      <c r="F71" s="101"/>
      <c r="G71" s="101"/>
      <c r="H71" s="101"/>
      <c r="I71" s="101"/>
      <c r="J71" s="101"/>
      <c r="K71" s="101"/>
      <c r="L71" s="101"/>
      <c r="M71" s="102"/>
      <c r="O71" s="100"/>
      <c r="P71" s="101"/>
      <c r="Q71" s="101"/>
      <c r="R71" s="101"/>
      <c r="S71" s="101"/>
      <c r="T71" s="101"/>
      <c r="U71" s="101"/>
      <c r="V71" s="101"/>
      <c r="W71" s="101"/>
      <c r="X71" s="101"/>
      <c r="Y71" s="101"/>
      <c r="Z71" s="101"/>
      <c r="AA71" s="102"/>
    </row>
  </sheetData>
  <mergeCells count="67">
    <mergeCell ref="C16:L18"/>
    <mergeCell ref="C19:L20"/>
    <mergeCell ref="G21:L21"/>
    <mergeCell ref="C3:L3"/>
    <mergeCell ref="C4:L4"/>
    <mergeCell ref="C15:L15"/>
    <mergeCell ref="C9:L9"/>
    <mergeCell ref="C8:L8"/>
    <mergeCell ref="C6:L7"/>
    <mergeCell ref="C10:L10"/>
    <mergeCell ref="C11:L11"/>
    <mergeCell ref="C12:L12"/>
    <mergeCell ref="C13:L13"/>
    <mergeCell ref="C14:L14"/>
    <mergeCell ref="G30:L30"/>
    <mergeCell ref="G29:L29"/>
    <mergeCell ref="G28:L28"/>
    <mergeCell ref="C68:L69"/>
    <mergeCell ref="G35:L35"/>
    <mergeCell ref="C59:L60"/>
    <mergeCell ref="C61:L62"/>
    <mergeCell ref="G43:L43"/>
    <mergeCell ref="G42:L42"/>
    <mergeCell ref="G41:L41"/>
    <mergeCell ref="C50:L50"/>
    <mergeCell ref="C55:L55"/>
    <mergeCell ref="C54:L54"/>
    <mergeCell ref="C56:L57"/>
    <mergeCell ref="C47:L48"/>
    <mergeCell ref="C53:L53"/>
    <mergeCell ref="C52:L52"/>
    <mergeCell ref="C51:L51"/>
    <mergeCell ref="C49:L49"/>
    <mergeCell ref="C43:F43"/>
    <mergeCell ref="C42:F42"/>
    <mergeCell ref="C41:F41"/>
    <mergeCell ref="C40:F40"/>
    <mergeCell ref="C58:L58"/>
    <mergeCell ref="P5:W5"/>
    <mergeCell ref="X5:Z5"/>
    <mergeCell ref="C5:L5"/>
    <mergeCell ref="C21:F21"/>
    <mergeCell ref="C28:F28"/>
    <mergeCell ref="C27:F27"/>
    <mergeCell ref="C25:F26"/>
    <mergeCell ref="C24:F24"/>
    <mergeCell ref="C23:F23"/>
    <mergeCell ref="C22:F22"/>
    <mergeCell ref="G22:L22"/>
    <mergeCell ref="G27:L27"/>
    <mergeCell ref="G26:L26"/>
    <mergeCell ref="C2:L2"/>
    <mergeCell ref="G40:L40"/>
    <mergeCell ref="G39:L39"/>
    <mergeCell ref="C39:F39"/>
    <mergeCell ref="C37:L38"/>
    <mergeCell ref="C36:L36"/>
    <mergeCell ref="G31:L32"/>
    <mergeCell ref="C34:F34"/>
    <mergeCell ref="C33:F33"/>
    <mergeCell ref="C30:F32"/>
    <mergeCell ref="C29:F29"/>
    <mergeCell ref="G24:L24"/>
    <mergeCell ref="G23:L23"/>
    <mergeCell ref="G25:L25"/>
    <mergeCell ref="G34:L34"/>
    <mergeCell ref="G33:L33"/>
  </mergeCells>
  <hyperlinks>
    <hyperlink ref="C4" r:id="rId1"/>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L97"/>
  <sheetViews>
    <sheetView tabSelected="1" zoomScale="85" zoomScaleNormal="85" workbookViewId="0">
      <selection activeCell="H5" sqref="H5"/>
    </sheetView>
  </sheetViews>
  <sheetFormatPr defaultColWidth="9.140625" defaultRowHeight="15" x14ac:dyDescent="0.25"/>
  <cols>
    <col min="1" max="1" width="13.42578125" style="29" bestFit="1" customWidth="1"/>
    <col min="2" max="2" width="80" style="28" bestFit="1" customWidth="1"/>
    <col min="3" max="3" width="11" style="6" hidden="1" customWidth="1"/>
    <col min="4" max="4" width="6" style="6" hidden="1" customWidth="1"/>
    <col min="5" max="5" width="19.85546875" style="6" hidden="1" customWidth="1"/>
    <col min="6" max="6" width="7.140625" style="6" hidden="1" customWidth="1"/>
    <col min="7" max="7" width="8.85546875" style="6" hidden="1" customWidth="1"/>
    <col min="8" max="8" width="56.5703125" style="31" bestFit="1" customWidth="1"/>
    <col min="9" max="9" width="12.42578125" style="30" customWidth="1"/>
    <col min="10" max="10" width="41.42578125" style="30" customWidth="1"/>
    <col min="11" max="11" width="5" style="30" customWidth="1"/>
    <col min="12" max="16384" width="9.140625" style="30"/>
  </cols>
  <sheetData>
    <row r="1" spans="1:12" ht="37.15" thickBot="1" x14ac:dyDescent="0.35">
      <c r="A1" s="39" t="s">
        <v>38</v>
      </c>
      <c r="B1" s="86"/>
      <c r="C1" s="77"/>
      <c r="D1" s="78"/>
      <c r="E1" s="79" t="s">
        <v>67</v>
      </c>
      <c r="F1" s="80"/>
      <c r="G1" s="81"/>
      <c r="H1" s="133" t="s">
        <v>48</v>
      </c>
      <c r="I1" s="133"/>
      <c r="J1" s="133"/>
    </row>
    <row r="2" spans="1:12" ht="15.6" x14ac:dyDescent="0.3">
      <c r="A2" s="74" t="s">
        <v>39</v>
      </c>
      <c r="B2" s="87"/>
      <c r="H2" s="50" t="s">
        <v>42</v>
      </c>
      <c r="I2" s="53">
        <v>3</v>
      </c>
    </row>
    <row r="3" spans="1:12" ht="16.149999999999999" thickBot="1" x14ac:dyDescent="0.35">
      <c r="A3" s="74" t="s">
        <v>68</v>
      </c>
      <c r="B3" s="87"/>
      <c r="C3" s="11" t="s">
        <v>34</v>
      </c>
      <c r="D3" s="4" t="s">
        <v>35</v>
      </c>
      <c r="E3" s="4" t="s">
        <v>36</v>
      </c>
      <c r="H3" s="51" t="s">
        <v>43</v>
      </c>
      <c r="I3" s="54">
        <v>1</v>
      </c>
    </row>
    <row r="4" spans="1:12" ht="15.6" x14ac:dyDescent="0.3">
      <c r="A4" s="74" t="s">
        <v>40</v>
      </c>
      <c r="B4" s="87"/>
      <c r="C4" s="11" t="s">
        <v>34</v>
      </c>
      <c r="D4" s="4" t="s">
        <v>35</v>
      </c>
      <c r="E4" s="4" t="s">
        <v>36</v>
      </c>
      <c r="J4" s="76"/>
    </row>
    <row r="5" spans="1:12" ht="23.25" x14ac:dyDescent="0.25">
      <c r="A5" s="39" t="s">
        <v>32</v>
      </c>
      <c r="B5" s="52" t="str">
        <f>IF($G$5=4,$C$7,IF($G$5=3,$D$7,IF($G$5=2,$E$7,$F$7)))</f>
        <v>Greenfield</v>
      </c>
      <c r="C5" s="1" t="s">
        <v>44</v>
      </c>
      <c r="D5" s="6">
        <v>80</v>
      </c>
      <c r="E5" s="1" t="s">
        <v>45</v>
      </c>
      <c r="F5" s="6">
        <v>85</v>
      </c>
      <c r="G5" s="1">
        <v>4</v>
      </c>
      <c r="H5" s="88" t="s">
        <v>74</v>
      </c>
      <c r="J5" s="75" t="str">
        <f>"Photos Required "&amp; COUNTIF(G9:G85,"Yes")</f>
        <v>Photos Required 62</v>
      </c>
      <c r="L5" s="30" t="s">
        <v>222</v>
      </c>
    </row>
    <row r="6" spans="1:12" s="1" customFormat="1" ht="23.45" hidden="1" x14ac:dyDescent="0.3">
      <c r="A6" s="7"/>
      <c r="B6" s="8"/>
      <c r="D6" s="6"/>
      <c r="E6" s="6"/>
      <c r="F6" s="6"/>
      <c r="H6" s="9"/>
      <c r="I6" s="2"/>
      <c r="J6" s="2"/>
    </row>
    <row r="7" spans="1:12" ht="19.5" thickBot="1" x14ac:dyDescent="0.35">
      <c r="A7" s="41" t="s">
        <v>20</v>
      </c>
      <c r="C7" s="1" t="s">
        <v>28</v>
      </c>
      <c r="D7" s="6" t="s">
        <v>29</v>
      </c>
      <c r="E7" s="6" t="s">
        <v>30</v>
      </c>
      <c r="F7" s="6" t="s">
        <v>31</v>
      </c>
      <c r="G7" s="6" t="s">
        <v>27</v>
      </c>
      <c r="H7" s="38"/>
    </row>
    <row r="8" spans="1:12" ht="19.5" collapsed="1" thickBot="1" x14ac:dyDescent="0.3">
      <c r="B8" s="121" t="s">
        <v>18</v>
      </c>
      <c r="C8" s="5">
        <v>0</v>
      </c>
      <c r="D8" s="5">
        <v>0</v>
      </c>
      <c r="E8" s="5">
        <v>0</v>
      </c>
      <c r="F8" s="5">
        <v>0</v>
      </c>
      <c r="G8" s="1" t="s">
        <v>27</v>
      </c>
      <c r="H8" s="47" t="s">
        <v>33</v>
      </c>
      <c r="I8" s="48" t="s">
        <v>47</v>
      </c>
      <c r="J8" s="49" t="s">
        <v>37</v>
      </c>
    </row>
    <row r="9" spans="1:12" ht="30" x14ac:dyDescent="0.25">
      <c r="A9" s="82">
        <v>1</v>
      </c>
      <c r="B9" s="120" t="s">
        <v>162</v>
      </c>
      <c r="C9" s="12" t="s">
        <v>3</v>
      </c>
      <c r="D9" s="12" t="s">
        <v>23</v>
      </c>
      <c r="E9" s="12" t="s">
        <v>25</v>
      </c>
      <c r="F9" s="12" t="s">
        <v>26</v>
      </c>
      <c r="G9" s="12" t="str">
        <f t="shared" ref="G9:G23" si="0">IF(INDEX(C9:F9,IF($B$5=$C$7,1,IF($B$5=$D$7,2,IF($B$5=$E$7,3,4))))&gt;0,"Yes","No")</f>
        <v>Yes</v>
      </c>
      <c r="H9" s="19" t="str">
        <f>IF(G9="Heading","",$B$2&amp;"_"&amp;$B$3&amp;"_"&amp;$B$8&amp;"_0"&amp;A9&amp;".jpg")</f>
        <v>__Construction_01.jpg</v>
      </c>
      <c r="I9" s="20"/>
      <c r="J9" s="21"/>
      <c r="L9" s="30" t="s">
        <v>223</v>
      </c>
    </row>
    <row r="10" spans="1:12" ht="30" x14ac:dyDescent="0.25">
      <c r="A10" s="82">
        <v>2</v>
      </c>
      <c r="B10" s="110" t="s">
        <v>163</v>
      </c>
      <c r="C10" s="10" t="s">
        <v>3</v>
      </c>
      <c r="D10" s="10"/>
      <c r="E10" s="10"/>
      <c r="F10" s="10"/>
      <c r="G10" s="10" t="str">
        <f t="shared" si="0"/>
        <v>Yes</v>
      </c>
      <c r="H10" s="22" t="str">
        <f>IF(G10="Heading","",$B$2&amp;"_"&amp;$B$3&amp;"_"&amp;$B$8&amp;"_0"&amp;A10&amp;".jpg")</f>
        <v>__Construction_02.jpg</v>
      </c>
      <c r="I10" s="23"/>
      <c r="J10" s="24"/>
      <c r="L10" s="30" t="s">
        <v>223</v>
      </c>
    </row>
    <row r="11" spans="1:12" ht="45" x14ac:dyDescent="0.25">
      <c r="A11" s="82">
        <v>3</v>
      </c>
      <c r="B11" s="110" t="s">
        <v>220</v>
      </c>
      <c r="C11" s="10" t="s">
        <v>3</v>
      </c>
      <c r="D11" s="10"/>
      <c r="E11" s="10"/>
      <c r="F11" s="10"/>
      <c r="G11" s="10" t="str">
        <f t="shared" si="0"/>
        <v>Yes</v>
      </c>
      <c r="H11" s="22" t="str">
        <f t="shared" ref="H11:H17" si="1">IF(G11="Heading","",$B$2&amp;"_"&amp;$B$3&amp;"_"&amp;$B$8&amp;"_0"&amp;A11&amp;".jpg")</f>
        <v>__Construction_03.jpg</v>
      </c>
      <c r="I11" s="23"/>
      <c r="J11" s="24"/>
      <c r="L11" s="30" t="s">
        <v>223</v>
      </c>
    </row>
    <row r="12" spans="1:12" ht="45" x14ac:dyDescent="0.25">
      <c r="A12" s="82">
        <v>4</v>
      </c>
      <c r="B12" s="110" t="s">
        <v>217</v>
      </c>
      <c r="C12" s="10" t="s">
        <v>3</v>
      </c>
      <c r="D12" s="10"/>
      <c r="E12" s="10"/>
      <c r="F12" s="10"/>
      <c r="G12" s="10" t="str">
        <f t="shared" si="0"/>
        <v>Yes</v>
      </c>
      <c r="H12" s="22" t="str">
        <f t="shared" si="1"/>
        <v>__Construction_04.jpg</v>
      </c>
      <c r="I12" s="23"/>
      <c r="J12" s="24"/>
      <c r="L12" s="30" t="s">
        <v>223</v>
      </c>
    </row>
    <row r="13" spans="1:12" x14ac:dyDescent="0.25">
      <c r="A13" s="82">
        <v>5</v>
      </c>
      <c r="B13" s="17" t="s">
        <v>24</v>
      </c>
      <c r="C13" s="10" t="s">
        <v>3</v>
      </c>
      <c r="D13" s="10"/>
      <c r="E13" s="10"/>
      <c r="F13" s="10"/>
      <c r="G13" s="10" t="str">
        <f t="shared" si="0"/>
        <v>Yes</v>
      </c>
      <c r="H13" s="22" t="str">
        <f t="shared" si="1"/>
        <v>__Construction_05.jpg</v>
      </c>
      <c r="I13" s="23"/>
      <c r="J13" s="24"/>
      <c r="L13" s="30" t="s">
        <v>223</v>
      </c>
    </row>
    <row r="14" spans="1:12" ht="30" x14ac:dyDescent="0.25">
      <c r="A14" s="82">
        <v>6</v>
      </c>
      <c r="B14" s="110" t="s">
        <v>164</v>
      </c>
      <c r="C14" s="10" t="s">
        <v>3</v>
      </c>
      <c r="D14" s="10"/>
      <c r="E14" s="10"/>
      <c r="F14" s="10"/>
      <c r="G14" s="10" t="str">
        <f t="shared" si="0"/>
        <v>Yes</v>
      </c>
      <c r="H14" s="22" t="str">
        <f t="shared" si="1"/>
        <v>__Construction_06.jpg</v>
      </c>
      <c r="I14" s="23"/>
      <c r="J14" s="24"/>
      <c r="L14" s="30" t="s">
        <v>223</v>
      </c>
    </row>
    <row r="15" spans="1:12" ht="45" x14ac:dyDescent="0.25">
      <c r="A15" s="82">
        <v>7</v>
      </c>
      <c r="B15" s="119" t="s">
        <v>165</v>
      </c>
      <c r="C15" s="10" t="s">
        <v>3</v>
      </c>
      <c r="D15" s="10"/>
      <c r="E15" s="10" t="s">
        <v>25</v>
      </c>
      <c r="F15" s="10" t="s">
        <v>26</v>
      </c>
      <c r="G15" s="10" t="str">
        <f t="shared" si="0"/>
        <v>Yes</v>
      </c>
      <c r="H15" s="22" t="str">
        <f t="shared" si="1"/>
        <v>__Construction_07.jpg</v>
      </c>
      <c r="I15" s="23"/>
      <c r="J15" s="24"/>
      <c r="L15" s="30" t="s">
        <v>223</v>
      </c>
    </row>
    <row r="16" spans="1:12" ht="30" x14ac:dyDescent="0.25">
      <c r="A16" s="82">
        <v>8</v>
      </c>
      <c r="B16" s="110" t="s">
        <v>166</v>
      </c>
      <c r="C16" s="10" t="s">
        <v>3</v>
      </c>
      <c r="D16" s="10"/>
      <c r="E16" s="10"/>
      <c r="F16" s="10"/>
      <c r="G16" s="10" t="str">
        <f t="shared" si="0"/>
        <v>Yes</v>
      </c>
      <c r="H16" s="22" t="str">
        <f t="shared" si="1"/>
        <v>__Construction_08.jpg</v>
      </c>
      <c r="I16" s="23"/>
      <c r="J16" s="24"/>
      <c r="L16" s="30" t="s">
        <v>223</v>
      </c>
    </row>
    <row r="17" spans="1:12" ht="30" x14ac:dyDescent="0.25">
      <c r="A17" s="82">
        <v>9</v>
      </c>
      <c r="B17" s="119" t="s">
        <v>167</v>
      </c>
      <c r="C17" s="10" t="s">
        <v>3</v>
      </c>
      <c r="D17" s="10"/>
      <c r="E17" s="10" t="s">
        <v>25</v>
      </c>
      <c r="F17" s="10" t="s">
        <v>26</v>
      </c>
      <c r="G17" s="10" t="str">
        <f t="shared" si="0"/>
        <v>Yes</v>
      </c>
      <c r="H17" s="22" t="str">
        <f t="shared" si="1"/>
        <v>__Construction_09.jpg</v>
      </c>
      <c r="I17" s="23"/>
      <c r="J17" s="24"/>
      <c r="L17" s="30" t="s">
        <v>223</v>
      </c>
    </row>
    <row r="18" spans="1:12" ht="75" x14ac:dyDescent="0.25">
      <c r="A18" s="82">
        <v>10</v>
      </c>
      <c r="B18" s="110" t="s">
        <v>218</v>
      </c>
      <c r="C18" s="10" t="s">
        <v>3</v>
      </c>
      <c r="D18" s="10" t="s">
        <v>23</v>
      </c>
      <c r="E18" s="10"/>
      <c r="F18" s="10"/>
      <c r="G18" s="10" t="str">
        <f t="shared" si="0"/>
        <v>Yes</v>
      </c>
      <c r="H18" s="22" t="str">
        <f>IF(G18="Heading","",$B$2&amp;"_"&amp;$B$3&amp;"_"&amp;$B$8&amp;"_"&amp;A18&amp;".jpg")</f>
        <v>__Construction_10.jpg</v>
      </c>
      <c r="I18" s="23"/>
      <c r="J18" s="112"/>
      <c r="L18" s="30" t="s">
        <v>223</v>
      </c>
    </row>
    <row r="19" spans="1:12" hidden="1" x14ac:dyDescent="0.25">
      <c r="A19" s="82">
        <v>11</v>
      </c>
      <c r="B19" s="17" t="s">
        <v>22</v>
      </c>
      <c r="C19" s="10"/>
      <c r="D19" s="10"/>
      <c r="E19" s="10"/>
      <c r="F19" s="10"/>
      <c r="G19" s="10" t="str">
        <f t="shared" si="0"/>
        <v>No</v>
      </c>
      <c r="H19" s="22" t="str">
        <f t="shared" ref="H19:H23" si="2">IF(G19="Heading","",$B$2&amp;"_"&amp;$B$3&amp;"_"&amp;$B$8&amp;"_"&amp;A19&amp;".jpg")</f>
        <v>__Construction_11.jpg</v>
      </c>
      <c r="I19" s="23"/>
      <c r="J19" s="24"/>
      <c r="L19" s="30" t="s">
        <v>223</v>
      </c>
    </row>
    <row r="20" spans="1:12" ht="45" x14ac:dyDescent="0.25">
      <c r="A20" s="82">
        <v>12</v>
      </c>
      <c r="B20" s="119" t="s">
        <v>168</v>
      </c>
      <c r="C20" s="10" t="s">
        <v>3</v>
      </c>
      <c r="D20" s="10" t="s">
        <v>23</v>
      </c>
      <c r="E20" s="10" t="s">
        <v>25</v>
      </c>
      <c r="F20" s="10"/>
      <c r="G20" s="10" t="str">
        <f t="shared" si="0"/>
        <v>Yes</v>
      </c>
      <c r="H20" s="22" t="str">
        <f t="shared" si="2"/>
        <v>__Construction_12.jpg</v>
      </c>
      <c r="I20" s="23"/>
      <c r="J20" s="112"/>
      <c r="L20" s="30" t="s">
        <v>223</v>
      </c>
    </row>
    <row r="21" spans="1:12" ht="45" x14ac:dyDescent="0.25">
      <c r="A21" s="82">
        <v>13</v>
      </c>
      <c r="B21" s="110" t="s">
        <v>200</v>
      </c>
      <c r="C21" s="10" t="s">
        <v>3</v>
      </c>
      <c r="D21" s="10" t="s">
        <v>23</v>
      </c>
      <c r="E21" s="10"/>
      <c r="F21" s="10"/>
      <c r="G21" s="10" t="str">
        <f t="shared" si="0"/>
        <v>Yes</v>
      </c>
      <c r="H21" s="22" t="str">
        <f t="shared" si="2"/>
        <v>__Construction_13.jpg</v>
      </c>
      <c r="I21" s="23"/>
      <c r="J21" s="112"/>
      <c r="L21" s="30" t="s">
        <v>223</v>
      </c>
    </row>
    <row r="22" spans="1:12" ht="75" x14ac:dyDescent="0.25">
      <c r="A22" s="82">
        <v>14</v>
      </c>
      <c r="B22" s="111" t="s">
        <v>201</v>
      </c>
      <c r="C22" s="10" t="s">
        <v>3</v>
      </c>
      <c r="D22" s="10" t="s">
        <v>23</v>
      </c>
      <c r="E22" s="10"/>
      <c r="F22" s="10"/>
      <c r="G22" s="10" t="str">
        <f t="shared" si="0"/>
        <v>Yes</v>
      </c>
      <c r="H22" s="22" t="str">
        <f t="shared" si="2"/>
        <v>__Construction_14.jpg</v>
      </c>
      <c r="I22" s="23"/>
      <c r="J22" s="112"/>
      <c r="L22" s="30" t="s">
        <v>223</v>
      </c>
    </row>
    <row r="23" spans="1:12" ht="15.75" thickBot="1" x14ac:dyDescent="0.3">
      <c r="A23" s="82">
        <v>15</v>
      </c>
      <c r="B23" s="18" t="s">
        <v>169</v>
      </c>
      <c r="C23" s="14" t="s">
        <v>3</v>
      </c>
      <c r="D23" s="14" t="s">
        <v>23</v>
      </c>
      <c r="E23" s="14"/>
      <c r="F23" s="14"/>
      <c r="G23" s="14" t="str">
        <f t="shared" si="0"/>
        <v>Yes</v>
      </c>
      <c r="H23" s="25" t="str">
        <f t="shared" si="2"/>
        <v>__Construction_15.jpg</v>
      </c>
      <c r="I23" s="26"/>
      <c r="J23" s="113"/>
      <c r="L23" s="30" t="s">
        <v>223</v>
      </c>
    </row>
    <row r="24" spans="1:12" s="32" customFormat="1" ht="19.5" thickBot="1" x14ac:dyDescent="0.3">
      <c r="A24" s="83"/>
      <c r="B24" s="124" t="s">
        <v>69</v>
      </c>
      <c r="C24" s="44">
        <v>0</v>
      </c>
      <c r="D24" s="44">
        <v>0</v>
      </c>
      <c r="E24" s="44">
        <v>0</v>
      </c>
      <c r="F24" s="44">
        <v>0</v>
      </c>
      <c r="G24" s="45" t="s">
        <v>27</v>
      </c>
      <c r="H24" s="33" t="str">
        <f t="shared" ref="H24:H34" si="3">IF(G24="Heading","",G24)</f>
        <v/>
      </c>
      <c r="I24" s="34"/>
      <c r="J24" s="34"/>
    </row>
    <row r="25" spans="1:12" x14ac:dyDescent="0.25">
      <c r="A25" s="82">
        <v>1</v>
      </c>
      <c r="B25" s="16" t="s">
        <v>170</v>
      </c>
      <c r="C25" s="12" t="s">
        <v>3</v>
      </c>
      <c r="D25" s="12" t="s">
        <v>23</v>
      </c>
      <c r="E25" s="12"/>
      <c r="F25" s="12"/>
      <c r="G25" s="12" t="str">
        <f t="shared" ref="G25:G32" si="4">IF(INDEX(C25:F25,IF($B$5=$C$7,1,IF($B$5=$D$7,2,IF($B$5=$E$7,3,4))))&gt;0,"Yes","No")</f>
        <v>Yes</v>
      </c>
      <c r="H25" s="19" t="str">
        <f>IF(G25="Heading","",$B$2&amp;"_"&amp;$B$3&amp;"_"&amp;$B$24&amp;"_0"&amp;A25&amp;".jpg")</f>
        <v>__Site_Access_01.jpg</v>
      </c>
      <c r="I25" s="20"/>
      <c r="J25" s="21"/>
      <c r="L25" s="30" t="s">
        <v>223</v>
      </c>
    </row>
    <row r="26" spans="1:12" x14ac:dyDescent="0.25">
      <c r="A26" s="82">
        <v>2</v>
      </c>
      <c r="B26" s="110" t="s">
        <v>171</v>
      </c>
      <c r="C26" s="10" t="s">
        <v>3</v>
      </c>
      <c r="D26" s="10" t="s">
        <v>23</v>
      </c>
      <c r="E26" s="10"/>
      <c r="F26" s="10"/>
      <c r="G26" s="10" t="str">
        <f t="shared" si="4"/>
        <v>Yes</v>
      </c>
      <c r="H26" s="22" t="str">
        <f t="shared" ref="H26:H32" si="5">IF(G26="Heading","",$B$2&amp;"_"&amp;$B$3&amp;"_"&amp;$B$24&amp;"_0"&amp;A26&amp;".jpg")</f>
        <v>__Site_Access_02.jpg</v>
      </c>
      <c r="I26" s="23"/>
      <c r="J26" s="24"/>
      <c r="L26" s="30" t="s">
        <v>223</v>
      </c>
    </row>
    <row r="27" spans="1:12" x14ac:dyDescent="0.25">
      <c r="A27" s="82" t="s">
        <v>234</v>
      </c>
      <c r="B27" s="110" t="s">
        <v>233</v>
      </c>
      <c r="C27" s="10"/>
      <c r="D27" s="10"/>
      <c r="E27" s="10"/>
      <c r="F27" s="10"/>
      <c r="G27" s="10"/>
      <c r="H27" s="22" t="str">
        <f t="shared" si="5"/>
        <v>__Site_Access_02A.jpg</v>
      </c>
      <c r="I27" s="23"/>
      <c r="J27" s="24"/>
      <c r="L27" s="30" t="s">
        <v>223</v>
      </c>
    </row>
    <row r="28" spans="1:12" x14ac:dyDescent="0.25">
      <c r="A28" s="82">
        <v>3</v>
      </c>
      <c r="B28" s="119" t="s">
        <v>172</v>
      </c>
      <c r="C28" s="10" t="s">
        <v>3</v>
      </c>
      <c r="D28" s="10" t="s">
        <v>23</v>
      </c>
      <c r="E28" s="10" t="s">
        <v>25</v>
      </c>
      <c r="F28" s="10" t="s">
        <v>26</v>
      </c>
      <c r="G28" s="10" t="str">
        <f t="shared" si="4"/>
        <v>Yes</v>
      </c>
      <c r="H28" s="22" t="str">
        <f t="shared" si="5"/>
        <v>__Site_Access_03.jpg</v>
      </c>
      <c r="I28" s="23"/>
      <c r="J28" s="24"/>
      <c r="L28" s="30" t="s">
        <v>223</v>
      </c>
    </row>
    <row r="29" spans="1:12" x14ac:dyDescent="0.25">
      <c r="A29" s="82">
        <v>4</v>
      </c>
      <c r="B29" s="119" t="s">
        <v>19</v>
      </c>
      <c r="C29" s="10" t="s">
        <v>3</v>
      </c>
      <c r="D29" s="10" t="s">
        <v>23</v>
      </c>
      <c r="E29" s="10" t="s">
        <v>25</v>
      </c>
      <c r="F29" s="10" t="s">
        <v>26</v>
      </c>
      <c r="G29" s="10" t="str">
        <f t="shared" si="4"/>
        <v>Yes</v>
      </c>
      <c r="H29" s="22" t="str">
        <f t="shared" si="5"/>
        <v>__Site_Access_04.jpg</v>
      </c>
      <c r="I29" s="23"/>
      <c r="J29" s="24"/>
      <c r="L29" s="30" t="s">
        <v>223</v>
      </c>
    </row>
    <row r="30" spans="1:12" ht="30" x14ac:dyDescent="0.25">
      <c r="A30" s="82">
        <v>5</v>
      </c>
      <c r="B30" s="119" t="s">
        <v>219</v>
      </c>
      <c r="C30" s="10" t="s">
        <v>3</v>
      </c>
      <c r="D30" s="10" t="s">
        <v>23</v>
      </c>
      <c r="E30" s="10" t="s">
        <v>25</v>
      </c>
      <c r="F30" s="10" t="s">
        <v>26</v>
      </c>
      <c r="G30" s="10" t="str">
        <f t="shared" si="4"/>
        <v>Yes</v>
      </c>
      <c r="H30" s="22" t="str">
        <f t="shared" si="5"/>
        <v>__Site_Access_05.jpg</v>
      </c>
      <c r="I30" s="23"/>
      <c r="J30" s="24"/>
      <c r="L30" s="30" t="s">
        <v>223</v>
      </c>
    </row>
    <row r="31" spans="1:12" x14ac:dyDescent="0.25">
      <c r="A31" s="82">
        <v>6</v>
      </c>
      <c r="B31" s="119" t="s">
        <v>13</v>
      </c>
      <c r="C31" s="10" t="s">
        <v>3</v>
      </c>
      <c r="D31" s="10" t="s">
        <v>23</v>
      </c>
      <c r="E31" s="10" t="s">
        <v>25</v>
      </c>
      <c r="F31" s="10" t="s">
        <v>26</v>
      </c>
      <c r="G31" s="10" t="str">
        <f t="shared" si="4"/>
        <v>Yes</v>
      </c>
      <c r="H31" s="22" t="str">
        <f t="shared" si="5"/>
        <v>__Site_Access_06.jpg</v>
      </c>
      <c r="I31" s="23"/>
      <c r="J31" s="24"/>
      <c r="L31" s="30" t="s">
        <v>223</v>
      </c>
    </row>
    <row r="32" spans="1:12" x14ac:dyDescent="0.25">
      <c r="A32" s="82">
        <v>7</v>
      </c>
      <c r="B32" s="119" t="s">
        <v>173</v>
      </c>
      <c r="C32" s="10" t="s">
        <v>3</v>
      </c>
      <c r="D32" s="10" t="s">
        <v>23</v>
      </c>
      <c r="E32" s="10" t="s">
        <v>25</v>
      </c>
      <c r="F32" s="10" t="s">
        <v>26</v>
      </c>
      <c r="G32" s="10" t="str">
        <f t="shared" si="4"/>
        <v>Yes</v>
      </c>
      <c r="H32" s="22" t="str">
        <f t="shared" si="5"/>
        <v>__Site_Access_07.jpg</v>
      </c>
      <c r="I32" s="23"/>
      <c r="J32" s="24"/>
      <c r="L32" s="30" t="s">
        <v>223</v>
      </c>
    </row>
    <row r="33" spans="1:12" ht="30.75" thickBot="1" x14ac:dyDescent="0.3">
      <c r="A33" s="82">
        <v>8</v>
      </c>
      <c r="B33" s="123" t="s">
        <v>231</v>
      </c>
      <c r="C33" s="14" t="s">
        <v>3</v>
      </c>
      <c r="D33" s="14" t="s">
        <v>23</v>
      </c>
      <c r="E33" s="14" t="s">
        <v>25</v>
      </c>
      <c r="F33" s="14" t="s">
        <v>26</v>
      </c>
      <c r="G33" s="14" t="str">
        <f t="shared" ref="G33" si="6">IF(INDEX(C33:F33,IF($B$5=$C$7,1,IF($B$5=$D$7,2,IF($B$5=$E$7,3,4))))&gt;0,"Yes","No")</f>
        <v>Yes</v>
      </c>
      <c r="H33" s="25" t="str">
        <f t="shared" ref="H33" si="7">IF(G33="Heading","",$B$2&amp;"_"&amp;$B$3&amp;"_"&amp;$B$24&amp;"_0"&amp;A33&amp;".jpg")</f>
        <v>__Site_Access_08.jpg</v>
      </c>
      <c r="I33" s="26"/>
      <c r="J33" s="27"/>
      <c r="L33" s="30" t="s">
        <v>223</v>
      </c>
    </row>
    <row r="34" spans="1:12" ht="19.5" thickBot="1" x14ac:dyDescent="0.3">
      <c r="A34" s="82"/>
      <c r="B34" s="121" t="s">
        <v>4</v>
      </c>
      <c r="C34" s="5">
        <v>0</v>
      </c>
      <c r="D34" s="5">
        <v>0</v>
      </c>
      <c r="E34" s="5">
        <v>0</v>
      </c>
      <c r="F34" s="5">
        <v>0</v>
      </c>
      <c r="G34" s="1" t="s">
        <v>27</v>
      </c>
      <c r="H34" s="38" t="str">
        <f t="shared" si="3"/>
        <v/>
      </c>
      <c r="I34" s="32"/>
      <c r="J34" s="32"/>
    </row>
    <row r="35" spans="1:12" x14ac:dyDescent="0.25">
      <c r="A35" s="82">
        <v>1</v>
      </c>
      <c r="B35" s="120" t="s">
        <v>174</v>
      </c>
      <c r="C35" s="12" t="s">
        <v>3</v>
      </c>
      <c r="D35" s="12" t="s">
        <v>23</v>
      </c>
      <c r="E35" s="12" t="s">
        <v>25</v>
      </c>
      <c r="F35" s="12" t="s">
        <v>26</v>
      </c>
      <c r="G35" s="12" t="str">
        <f>IF(INDEX(C35:F35,IF($B$5=$C$7,1,IF($B$5=$D$7,2,IF($B$5=$E$7,3,4))))&gt;0,"Yes","No")</f>
        <v>Yes</v>
      </c>
      <c r="H35" s="19" t="str">
        <f t="shared" ref="H35:H41" si="8">IF(G35="Heading","",$B$2&amp;"_"&amp;$B$3&amp;"_"&amp;$B$34&amp;"_0"&amp;A35&amp;".jpg")</f>
        <v>__Power_01.jpg</v>
      </c>
      <c r="I35" s="20"/>
      <c r="J35" s="21"/>
      <c r="L35" s="30" t="s">
        <v>223</v>
      </c>
    </row>
    <row r="36" spans="1:12" x14ac:dyDescent="0.25">
      <c r="A36" s="82">
        <v>2</v>
      </c>
      <c r="B36" s="119" t="s">
        <v>175</v>
      </c>
      <c r="C36" s="10" t="s">
        <v>3</v>
      </c>
      <c r="D36" s="10" t="s">
        <v>23</v>
      </c>
      <c r="E36" s="10" t="s">
        <v>25</v>
      </c>
      <c r="F36" s="10" t="s">
        <v>26</v>
      </c>
      <c r="G36" s="10" t="str">
        <f>IF(INDEX(C36:F36,IF($B$5=$C$7,1,IF($B$5=$D$7,2,IF($B$5=$E$7,3,4))))&gt;0,"Yes","No")</f>
        <v>Yes</v>
      </c>
      <c r="H36" s="22" t="str">
        <f t="shared" si="8"/>
        <v>__Power_02.jpg</v>
      </c>
      <c r="I36" s="23"/>
      <c r="J36" s="24"/>
      <c r="L36" s="30" t="s">
        <v>223</v>
      </c>
    </row>
    <row r="37" spans="1:12" x14ac:dyDescent="0.25">
      <c r="A37" s="82">
        <v>3</v>
      </c>
      <c r="B37" s="119" t="s">
        <v>176</v>
      </c>
      <c r="C37" s="10" t="s">
        <v>3</v>
      </c>
      <c r="D37" s="10" t="s">
        <v>23</v>
      </c>
      <c r="E37" s="10" t="s">
        <v>25</v>
      </c>
      <c r="F37" s="10" t="s">
        <v>26</v>
      </c>
      <c r="G37" s="10" t="str">
        <f>IF(INDEX(C37:F37,IF($B$5=$C$7,1,IF($B$5=$D$7,2,IF($B$5=$E$7,3,4))))&gt;0,"Yes","No")</f>
        <v>Yes</v>
      </c>
      <c r="H37" s="22" t="str">
        <f t="shared" si="8"/>
        <v>__Power_03.jpg</v>
      </c>
      <c r="I37" s="23"/>
      <c r="J37" s="24"/>
      <c r="L37" s="30" t="s">
        <v>223</v>
      </c>
    </row>
    <row r="38" spans="1:12" x14ac:dyDescent="0.25">
      <c r="A38" s="82">
        <v>4</v>
      </c>
      <c r="B38" s="119" t="s">
        <v>177</v>
      </c>
      <c r="C38" s="10" t="s">
        <v>3</v>
      </c>
      <c r="D38" s="10" t="s">
        <v>23</v>
      </c>
      <c r="E38" s="10" t="s">
        <v>25</v>
      </c>
      <c r="F38" s="10" t="s">
        <v>26</v>
      </c>
      <c r="G38" s="10" t="str">
        <f>IF(INDEX(C38:F38,IF($B$5=$C$7,1,IF($B$5=$D$7,2,IF($B$5=$E$7,3,4))))&gt;0,"Yes","No")</f>
        <v>Yes</v>
      </c>
      <c r="H38" s="22" t="str">
        <f t="shared" si="8"/>
        <v>__Power_04.jpg</v>
      </c>
      <c r="I38" s="23"/>
      <c r="J38" s="24"/>
      <c r="L38" s="30" t="s">
        <v>223</v>
      </c>
    </row>
    <row r="39" spans="1:12" x14ac:dyDescent="0.25">
      <c r="A39" s="82">
        <v>5</v>
      </c>
      <c r="B39" s="119" t="s">
        <v>0</v>
      </c>
      <c r="C39" s="10" t="s">
        <v>3</v>
      </c>
      <c r="D39" s="10" t="s">
        <v>23</v>
      </c>
      <c r="E39" s="10" t="s">
        <v>25</v>
      </c>
      <c r="F39" s="10" t="s">
        <v>26</v>
      </c>
      <c r="G39" s="10" t="str">
        <f>IF(INDEX(C39:F39,IF($B$5=$C$7,1,IF($B$5=$D$7,2,IF($B$5=$E$7,3,4))))&gt;0,"Yes","No")</f>
        <v>Yes</v>
      </c>
      <c r="H39" s="22" t="str">
        <f t="shared" si="8"/>
        <v>__Power_05.jpg</v>
      </c>
      <c r="I39" s="23"/>
      <c r="J39" s="24"/>
      <c r="L39" s="30" t="s">
        <v>223</v>
      </c>
    </row>
    <row r="40" spans="1:12" x14ac:dyDescent="0.25">
      <c r="A40" s="82">
        <v>6</v>
      </c>
      <c r="B40" s="119" t="s">
        <v>227</v>
      </c>
      <c r="C40" s="10" t="s">
        <v>3</v>
      </c>
      <c r="D40" s="10" t="s">
        <v>23</v>
      </c>
      <c r="E40" s="10" t="s">
        <v>25</v>
      </c>
      <c r="F40" s="10" t="s">
        <v>26</v>
      </c>
      <c r="G40" s="10" t="str">
        <f t="shared" ref="G40:G41" si="9">IF(INDEX(C40:F40,IF($B$5=$C$7,1,IF($B$5=$D$7,2,IF($B$5=$E$7,3,4))))&gt;0,"Yes","No")</f>
        <v>Yes</v>
      </c>
      <c r="H40" s="22" t="str">
        <f t="shared" si="8"/>
        <v>__Power_06.jpg</v>
      </c>
      <c r="I40" s="23"/>
      <c r="J40" s="24"/>
      <c r="L40" s="30" t="s">
        <v>223</v>
      </c>
    </row>
    <row r="41" spans="1:12" ht="15.75" thickBot="1" x14ac:dyDescent="0.3">
      <c r="A41" s="82">
        <v>7</v>
      </c>
      <c r="B41" s="123" t="s">
        <v>228</v>
      </c>
      <c r="C41" s="14" t="s">
        <v>3</v>
      </c>
      <c r="D41" s="14" t="s">
        <v>23</v>
      </c>
      <c r="E41" s="14" t="s">
        <v>25</v>
      </c>
      <c r="F41" s="14" t="s">
        <v>26</v>
      </c>
      <c r="G41" s="14" t="str">
        <f t="shared" si="9"/>
        <v>Yes</v>
      </c>
      <c r="H41" s="25" t="str">
        <f t="shared" si="8"/>
        <v>__Power_07.jpg</v>
      </c>
      <c r="I41" s="26"/>
      <c r="J41" s="27"/>
      <c r="L41" s="30" t="s">
        <v>223</v>
      </c>
    </row>
    <row r="42" spans="1:12" ht="19.5" thickBot="1" x14ac:dyDescent="0.3">
      <c r="A42" s="82"/>
      <c r="B42" s="121" t="s">
        <v>15</v>
      </c>
      <c r="C42" s="5">
        <v>0</v>
      </c>
      <c r="D42" s="5">
        <v>0</v>
      </c>
      <c r="E42" s="5">
        <v>0</v>
      </c>
      <c r="F42" s="5">
        <v>0</v>
      </c>
      <c r="G42" s="1" t="s">
        <v>27</v>
      </c>
      <c r="H42" s="38" t="str">
        <f t="shared" ref="H42:H56" si="10">IF(G42="Heading","",G42)</f>
        <v/>
      </c>
      <c r="I42" s="32"/>
      <c r="J42" s="32"/>
    </row>
    <row r="43" spans="1:12" x14ac:dyDescent="0.25">
      <c r="A43" s="82">
        <v>1</v>
      </c>
      <c r="B43" s="120" t="s">
        <v>16</v>
      </c>
      <c r="C43" s="12" t="s">
        <v>3</v>
      </c>
      <c r="D43" s="12" t="s">
        <v>23</v>
      </c>
      <c r="E43" s="12" t="s">
        <v>25</v>
      </c>
      <c r="F43" s="12" t="s">
        <v>26</v>
      </c>
      <c r="G43" s="12" t="str">
        <f>IF(INDEX(C43:F43,IF($B$5=$C$7,1,IF($B$5=$D$7,2,IF($B$5=$E$7,3,4))))&gt;0,"Yes","No")</f>
        <v>Yes</v>
      </c>
      <c r="H43" s="19" t="str">
        <f>IF(G43="Heading","",$B$2&amp;"_"&amp;$B$3&amp;"_"&amp;$B$42&amp;"_0"&amp;A43&amp;".jpg")</f>
        <v>__Signage_01.jpg</v>
      </c>
      <c r="I43" s="20"/>
      <c r="J43" s="21"/>
      <c r="L43" s="30" t="s">
        <v>224</v>
      </c>
    </row>
    <row r="44" spans="1:12" x14ac:dyDescent="0.25">
      <c r="A44" s="82">
        <v>2</v>
      </c>
      <c r="B44" s="119" t="s">
        <v>178</v>
      </c>
      <c r="C44" s="10" t="s">
        <v>3</v>
      </c>
      <c r="D44" s="10" t="s">
        <v>23</v>
      </c>
      <c r="E44" s="10" t="s">
        <v>25</v>
      </c>
      <c r="F44" s="10" t="s">
        <v>26</v>
      </c>
      <c r="G44" s="10" t="str">
        <f>IF(INDEX(C44:F44,IF($B$5=$C$7,1,IF($B$5=$D$7,2,IF($B$5=$E$7,3,4))))&gt;0,"Yes","No")</f>
        <v>Yes</v>
      </c>
      <c r="H44" s="22" t="str">
        <f>IF(G44="Heading","",$B$2&amp;"_"&amp;$B$3&amp;"_"&amp;$B$42&amp;"_0"&amp;A44&amp;".jpg")</f>
        <v>__Signage_02.jpg</v>
      </c>
      <c r="I44" s="23"/>
      <c r="J44" s="24"/>
      <c r="L44" s="30" t="s">
        <v>224</v>
      </c>
    </row>
    <row r="45" spans="1:12" x14ac:dyDescent="0.25">
      <c r="A45" s="82">
        <v>3</v>
      </c>
      <c r="B45" s="119" t="s">
        <v>179</v>
      </c>
      <c r="C45" s="10" t="s">
        <v>3</v>
      </c>
      <c r="D45" s="10" t="s">
        <v>23</v>
      </c>
      <c r="E45" s="10" t="s">
        <v>25</v>
      </c>
      <c r="F45" s="10" t="s">
        <v>26</v>
      </c>
      <c r="G45" s="10" t="str">
        <f>IF(INDEX(C45:F45,IF($B$5=$C$7,1,IF($B$5=$D$7,2,IF($B$5=$E$7,3,4))))&gt;0,"Yes","No")</f>
        <v>Yes</v>
      </c>
      <c r="H45" s="22" t="str">
        <f>IF(G45="Heading","",$B$2&amp;"_"&amp;$B$3&amp;"_"&amp;$B$42&amp;"_0"&amp;A45&amp;".jpg")</f>
        <v>__Signage_03.jpg</v>
      </c>
      <c r="I45" s="23"/>
      <c r="J45" s="24"/>
      <c r="L45" s="30" t="s">
        <v>224</v>
      </c>
    </row>
    <row r="46" spans="1:12" ht="15.75" thickBot="1" x14ac:dyDescent="0.3">
      <c r="A46" s="82">
        <v>4</v>
      </c>
      <c r="B46" s="123" t="s">
        <v>180</v>
      </c>
      <c r="C46" s="14" t="s">
        <v>3</v>
      </c>
      <c r="D46" s="14" t="s">
        <v>23</v>
      </c>
      <c r="E46" s="14" t="s">
        <v>25</v>
      </c>
      <c r="F46" s="14" t="s">
        <v>26</v>
      </c>
      <c r="G46" s="14" t="str">
        <f>IF(INDEX(C46:F46,IF($B$5=$C$7,1,IF($B$5=$D$7,2,IF($B$5=$E$7,3,4))))&gt;0,"Yes","No")</f>
        <v>Yes</v>
      </c>
      <c r="H46" s="25" t="str">
        <f>IF(G46="Heading","",$B$2&amp;"_"&amp;$B$3&amp;"_"&amp;$B$42&amp;"_0"&amp;A46&amp;".jpg")</f>
        <v>__Signage_04.jpg</v>
      </c>
      <c r="I46" s="26"/>
      <c r="J46" s="27"/>
      <c r="L46" s="30" t="s">
        <v>224</v>
      </c>
    </row>
    <row r="47" spans="1:12" ht="19.5" thickBot="1" x14ac:dyDescent="0.3">
      <c r="A47" s="82"/>
      <c r="B47" s="121" t="s">
        <v>8</v>
      </c>
      <c r="C47" s="5">
        <v>0</v>
      </c>
      <c r="D47" s="5">
        <v>0</v>
      </c>
      <c r="E47" s="5">
        <v>0</v>
      </c>
      <c r="F47" s="5">
        <v>0</v>
      </c>
      <c r="G47" s="1" t="s">
        <v>27</v>
      </c>
      <c r="H47" s="38" t="str">
        <f t="shared" si="10"/>
        <v/>
      </c>
      <c r="I47" s="32"/>
      <c r="J47" s="32"/>
    </row>
    <row r="48" spans="1:12" x14ac:dyDescent="0.25">
      <c r="A48" s="82">
        <v>1</v>
      </c>
      <c r="B48" s="120" t="s">
        <v>181</v>
      </c>
      <c r="C48" s="12" t="s">
        <v>3</v>
      </c>
      <c r="D48" s="12" t="s">
        <v>23</v>
      </c>
      <c r="E48" s="12" t="s">
        <v>25</v>
      </c>
      <c r="F48" s="12" t="s">
        <v>26</v>
      </c>
      <c r="G48" s="12" t="str">
        <f t="shared" ref="G48:G55" si="11">IF(INDEX(C48:F48,IF($B$5=$C$7,1,IF($B$5=$D$7,2,IF($B$5=$E$7,3,4))))&gt;0,"Yes","No")</f>
        <v>Yes</v>
      </c>
      <c r="H48" s="19" t="str">
        <f t="shared" ref="H48:H55" si="12">IF(G48="Heading","",$B$2&amp;"_"&amp;$B$3&amp;"_"&amp;$B$47&amp;"_0"&amp;A48&amp;".jpg")</f>
        <v>__Earthing_01.jpg</v>
      </c>
      <c r="I48" s="20"/>
      <c r="J48" s="21"/>
      <c r="L48" s="30" t="s">
        <v>230</v>
      </c>
    </row>
    <row r="49" spans="1:12" x14ac:dyDescent="0.25">
      <c r="A49" s="82">
        <v>2</v>
      </c>
      <c r="B49" s="119" t="s">
        <v>10</v>
      </c>
      <c r="C49" s="10" t="s">
        <v>3</v>
      </c>
      <c r="D49" s="10" t="s">
        <v>23</v>
      </c>
      <c r="E49" s="10" t="s">
        <v>25</v>
      </c>
      <c r="F49" s="10" t="s">
        <v>26</v>
      </c>
      <c r="G49" s="10" t="str">
        <f t="shared" si="11"/>
        <v>Yes</v>
      </c>
      <c r="H49" s="22" t="str">
        <f t="shared" si="12"/>
        <v>__Earthing_02.jpg</v>
      </c>
      <c r="I49" s="23"/>
      <c r="J49" s="24"/>
      <c r="L49" s="30" t="s">
        <v>224</v>
      </c>
    </row>
    <row r="50" spans="1:12" x14ac:dyDescent="0.25">
      <c r="A50" s="82">
        <v>3</v>
      </c>
      <c r="B50" s="119" t="s">
        <v>182</v>
      </c>
      <c r="C50" s="10" t="s">
        <v>3</v>
      </c>
      <c r="D50" s="10" t="s">
        <v>23</v>
      </c>
      <c r="E50" s="10" t="s">
        <v>25</v>
      </c>
      <c r="F50" s="10" t="s">
        <v>26</v>
      </c>
      <c r="G50" s="10" t="str">
        <f t="shared" si="11"/>
        <v>Yes</v>
      </c>
      <c r="H50" s="22" t="str">
        <f t="shared" si="12"/>
        <v>__Earthing_03.jpg</v>
      </c>
      <c r="I50" s="23"/>
      <c r="J50" s="24"/>
      <c r="L50" s="30" t="s">
        <v>224</v>
      </c>
    </row>
    <row r="51" spans="1:12" x14ac:dyDescent="0.25">
      <c r="A51" s="82">
        <v>4</v>
      </c>
      <c r="B51" s="119" t="s">
        <v>202</v>
      </c>
      <c r="C51" s="10" t="s">
        <v>3</v>
      </c>
      <c r="D51" s="10" t="s">
        <v>23</v>
      </c>
      <c r="E51" s="10" t="s">
        <v>25</v>
      </c>
      <c r="F51" s="10" t="s">
        <v>26</v>
      </c>
      <c r="G51" s="10" t="str">
        <f t="shared" si="11"/>
        <v>Yes</v>
      </c>
      <c r="H51" s="22" t="str">
        <f t="shared" si="12"/>
        <v>__Earthing_04.jpg</v>
      </c>
      <c r="I51" s="23"/>
      <c r="J51" s="24"/>
      <c r="L51" s="30" t="s">
        <v>224</v>
      </c>
    </row>
    <row r="52" spans="1:12" x14ac:dyDescent="0.25">
      <c r="A52" s="82">
        <v>5</v>
      </c>
      <c r="B52" s="119" t="s">
        <v>203</v>
      </c>
      <c r="C52" s="10" t="s">
        <v>3</v>
      </c>
      <c r="D52" s="10" t="s">
        <v>23</v>
      </c>
      <c r="E52" s="10" t="s">
        <v>25</v>
      </c>
      <c r="F52" s="10" t="s">
        <v>26</v>
      </c>
      <c r="G52" s="10" t="str">
        <f t="shared" si="11"/>
        <v>Yes</v>
      </c>
      <c r="H52" s="22" t="str">
        <f t="shared" si="12"/>
        <v>__Earthing_05.jpg</v>
      </c>
      <c r="I52" s="23"/>
      <c r="J52" s="24"/>
      <c r="L52" s="30" t="s">
        <v>224</v>
      </c>
    </row>
    <row r="53" spans="1:12" x14ac:dyDescent="0.25">
      <c r="A53" s="82">
        <v>6</v>
      </c>
      <c r="B53" s="119" t="s">
        <v>11</v>
      </c>
      <c r="C53" s="10" t="s">
        <v>3</v>
      </c>
      <c r="D53" s="10" t="s">
        <v>23</v>
      </c>
      <c r="E53" s="10" t="s">
        <v>25</v>
      </c>
      <c r="F53" s="10" t="s">
        <v>26</v>
      </c>
      <c r="G53" s="10" t="str">
        <f t="shared" si="11"/>
        <v>Yes</v>
      </c>
      <c r="H53" s="22" t="str">
        <f t="shared" si="12"/>
        <v>__Earthing_06.jpg</v>
      </c>
      <c r="I53" s="23"/>
      <c r="J53" s="24"/>
      <c r="L53" s="30" t="s">
        <v>225</v>
      </c>
    </row>
    <row r="54" spans="1:12" x14ac:dyDescent="0.25">
      <c r="A54" s="82">
        <v>7</v>
      </c>
      <c r="B54" s="119" t="s">
        <v>183</v>
      </c>
      <c r="C54" s="10" t="s">
        <v>3</v>
      </c>
      <c r="D54" s="10" t="s">
        <v>23</v>
      </c>
      <c r="E54" s="10" t="s">
        <v>25</v>
      </c>
      <c r="F54" s="10" t="s">
        <v>26</v>
      </c>
      <c r="G54" s="10" t="str">
        <f t="shared" si="11"/>
        <v>Yes</v>
      </c>
      <c r="H54" s="22" t="str">
        <f t="shared" si="12"/>
        <v>__Earthing_07.jpg</v>
      </c>
      <c r="I54" s="23"/>
      <c r="J54" s="24"/>
      <c r="L54" s="30" t="s">
        <v>225</v>
      </c>
    </row>
    <row r="55" spans="1:12" x14ac:dyDescent="0.25">
      <c r="A55" s="82">
        <v>8</v>
      </c>
      <c r="B55" s="119" t="s">
        <v>184</v>
      </c>
      <c r="C55" s="10" t="s">
        <v>3</v>
      </c>
      <c r="D55" s="10" t="s">
        <v>23</v>
      </c>
      <c r="E55" s="10" t="s">
        <v>25</v>
      </c>
      <c r="F55" s="10" t="s">
        <v>26</v>
      </c>
      <c r="G55" s="10" t="str">
        <f t="shared" si="11"/>
        <v>Yes</v>
      </c>
      <c r="H55" s="22" t="str">
        <f t="shared" si="12"/>
        <v>__Earthing_08.jpg</v>
      </c>
      <c r="I55" s="23"/>
      <c r="J55" s="24"/>
      <c r="L55" s="30" t="s">
        <v>225</v>
      </c>
    </row>
    <row r="56" spans="1:12" ht="19.5" thickBot="1" x14ac:dyDescent="0.3">
      <c r="A56" s="82"/>
      <c r="B56" s="121" t="s">
        <v>41</v>
      </c>
      <c r="C56" s="5">
        <v>0</v>
      </c>
      <c r="D56" s="5">
        <v>0</v>
      </c>
      <c r="E56" s="5">
        <v>0</v>
      </c>
      <c r="F56" s="5">
        <v>0</v>
      </c>
      <c r="G56" s="1" t="s">
        <v>27</v>
      </c>
      <c r="H56" s="38" t="str">
        <f t="shared" si="10"/>
        <v/>
      </c>
      <c r="I56" s="32"/>
      <c r="J56" s="32"/>
    </row>
    <row r="57" spans="1:12" ht="45" x14ac:dyDescent="0.25">
      <c r="A57" s="82">
        <v>1</v>
      </c>
      <c r="B57" s="120" t="s">
        <v>214</v>
      </c>
      <c r="C57" s="12" t="s">
        <v>3</v>
      </c>
      <c r="D57" s="12" t="s">
        <v>23</v>
      </c>
      <c r="E57" s="12" t="s">
        <v>25</v>
      </c>
      <c r="F57" s="12" t="s">
        <v>26</v>
      </c>
      <c r="G57" s="12" t="str">
        <f>IF(INDEX(C57:F57,IF($B$5=$C$7,1,IF($B$5=$D$7,2,IF($B$5=$E$7,3,4))))&gt;0,"Yes","No")</f>
        <v>Yes</v>
      </c>
      <c r="H57" s="19" t="str">
        <f>IF(G57="Heading","",$B$2&amp;"_"&amp;$B$3&amp;"_"&amp;$B$56&amp;"_0"&amp;A57&amp;".jpg")</f>
        <v>__Feeders_01.jpg</v>
      </c>
      <c r="I57" s="20"/>
      <c r="J57" s="21"/>
      <c r="L57" s="30" t="s">
        <v>224</v>
      </c>
    </row>
    <row r="58" spans="1:12" x14ac:dyDescent="0.25">
      <c r="A58" s="82">
        <v>2</v>
      </c>
      <c r="B58" s="119" t="s">
        <v>83</v>
      </c>
      <c r="C58" s="10" t="s">
        <v>3</v>
      </c>
      <c r="D58" s="10" t="s">
        <v>23</v>
      </c>
      <c r="E58" s="10" t="s">
        <v>25</v>
      </c>
      <c r="F58" s="10" t="s">
        <v>26</v>
      </c>
      <c r="G58" s="10" t="str">
        <f>IF(INDEX(C58:F58,IF($B$5=$C$7,1,IF($B$5=$D$7,2,IF($B$5=$E$7,3,4))))&gt;0,"Yes","No")</f>
        <v>Yes</v>
      </c>
      <c r="H58" s="22" t="str">
        <f>IF(G58="Heading","",$B$2&amp;"_"&amp;$B$3&amp;"_"&amp;$B$56&amp;"_0"&amp;A58&amp;".jpg")</f>
        <v>__Feeders_02.jpg</v>
      </c>
      <c r="I58" s="23"/>
      <c r="J58" s="24"/>
      <c r="L58" s="30" t="s">
        <v>224</v>
      </c>
    </row>
    <row r="59" spans="1:12" ht="15.75" thickBot="1" x14ac:dyDescent="0.3">
      <c r="A59" s="82">
        <v>3</v>
      </c>
      <c r="B59" s="123" t="s">
        <v>84</v>
      </c>
      <c r="C59" s="14" t="s">
        <v>3</v>
      </c>
      <c r="D59" s="14" t="s">
        <v>23</v>
      </c>
      <c r="E59" s="14" t="s">
        <v>25</v>
      </c>
      <c r="F59" s="14" t="s">
        <v>26</v>
      </c>
      <c r="G59" s="14" t="str">
        <f>IF(INDEX(C59:F59,IF($B$5=$C$7,1,IF($B$5=$D$7,2,IF($B$5=$E$7,3,4))))&gt;0,"Yes","No")</f>
        <v>Yes</v>
      </c>
      <c r="H59" s="25" t="str">
        <f>IF(G59="Heading","",$B$2&amp;"_"&amp;$B$3&amp;"_"&amp;$B$56&amp;"_0"&amp;A59&amp;".jpg")</f>
        <v>__Feeders_03.jpg</v>
      </c>
      <c r="I59" s="26"/>
      <c r="J59" s="27"/>
      <c r="L59" s="30" t="s">
        <v>224</v>
      </c>
    </row>
    <row r="60" spans="1:12" s="1" customFormat="1" ht="19.5" thickBot="1" x14ac:dyDescent="0.3">
      <c r="A60" s="82"/>
      <c r="B60" s="125" t="s">
        <v>12</v>
      </c>
      <c r="C60" s="5">
        <v>0</v>
      </c>
      <c r="D60" s="5">
        <v>0</v>
      </c>
      <c r="E60" s="5">
        <v>0</v>
      </c>
      <c r="F60" s="5">
        <v>0</v>
      </c>
      <c r="G60" s="1" t="s">
        <v>27</v>
      </c>
      <c r="H60" s="31" t="s">
        <v>46</v>
      </c>
      <c r="I60" s="30"/>
      <c r="J60" s="30"/>
    </row>
    <row r="61" spans="1:12" s="1" customFormat="1" ht="15.75" thickBot="1" x14ac:dyDescent="0.3">
      <c r="A61" s="83">
        <v>1</v>
      </c>
      <c r="B61" s="122" t="s">
        <v>185</v>
      </c>
      <c r="C61" s="15" t="s">
        <v>3</v>
      </c>
      <c r="D61" s="15" t="s">
        <v>23</v>
      </c>
      <c r="E61" s="15" t="s">
        <v>25</v>
      </c>
      <c r="F61" s="15" t="s">
        <v>26</v>
      </c>
      <c r="G61" s="15" t="s">
        <v>34</v>
      </c>
      <c r="H61" s="85" t="str">
        <f>IF(G61="Heading","",$B$2&amp;"_"&amp;$B$3&amp;"_"&amp;$B60&amp;"_0"&amp;A61&amp;".jpg")</f>
        <v>__GPS_01.jpg</v>
      </c>
      <c r="I61" s="35"/>
      <c r="J61" s="36"/>
      <c r="L61" s="30" t="s">
        <v>224</v>
      </c>
    </row>
    <row r="62" spans="1:12" s="1" customFormat="1" x14ac:dyDescent="0.25">
      <c r="A62" s="82"/>
      <c r="B62" s="128"/>
      <c r="C62" s="42"/>
      <c r="D62" s="42"/>
      <c r="E62" s="42"/>
      <c r="F62" s="42"/>
      <c r="G62" s="42" t="s">
        <v>27</v>
      </c>
      <c r="H62" s="38"/>
      <c r="I62" s="32"/>
      <c r="J62" s="32"/>
    </row>
    <row r="63" spans="1:12" s="1" customFormat="1" ht="18.75" x14ac:dyDescent="0.3">
      <c r="A63" s="43" t="s">
        <v>21</v>
      </c>
      <c r="B63" s="126"/>
      <c r="C63" s="13">
        <v>0</v>
      </c>
      <c r="D63" s="13">
        <v>0</v>
      </c>
      <c r="E63" s="13">
        <v>0</v>
      </c>
      <c r="F63" s="13">
        <v>0</v>
      </c>
      <c r="G63" s="42" t="s">
        <v>27</v>
      </c>
      <c r="H63" s="38" t="s">
        <v>46</v>
      </c>
      <c r="I63" s="32"/>
      <c r="J63" s="32"/>
    </row>
    <row r="64" spans="1:12" s="1" customFormat="1" ht="19.5" thickBot="1" x14ac:dyDescent="0.3">
      <c r="B64" s="127" t="s">
        <v>70</v>
      </c>
      <c r="C64" s="13">
        <v>0</v>
      </c>
      <c r="D64" s="13">
        <v>0</v>
      </c>
      <c r="E64" s="13">
        <v>0</v>
      </c>
      <c r="F64" s="13">
        <v>0</v>
      </c>
      <c r="G64" s="42" t="s">
        <v>27</v>
      </c>
      <c r="H64" s="38" t="s">
        <v>46</v>
      </c>
      <c r="I64" s="32"/>
      <c r="J64" s="32"/>
    </row>
    <row r="65" spans="1:12" s="1" customFormat="1" ht="30.75" thickBot="1" x14ac:dyDescent="0.3">
      <c r="A65" s="82">
        <v>1</v>
      </c>
      <c r="B65" s="122" t="s">
        <v>186</v>
      </c>
      <c r="C65" s="15" t="s">
        <v>3</v>
      </c>
      <c r="D65" s="15" t="s">
        <v>23</v>
      </c>
      <c r="E65" s="15" t="s">
        <v>25</v>
      </c>
      <c r="F65" s="15" t="s">
        <v>26</v>
      </c>
      <c r="G65" s="15" t="s">
        <v>34</v>
      </c>
      <c r="H65" s="85" t="str">
        <f>IF(G65="Heading","",$B$2&amp;"_"&amp;$B$3&amp;"_"&amp;$B$64&amp;"_0"&amp;A65&amp;".jpg")</f>
        <v>__Equipment_cabinet/shelter_01.jpg</v>
      </c>
      <c r="I65" s="35"/>
      <c r="J65" s="36"/>
      <c r="L65" s="30" t="s">
        <v>224</v>
      </c>
    </row>
    <row r="66" spans="1:12" s="1" customFormat="1" ht="19.5" thickBot="1" x14ac:dyDescent="0.3">
      <c r="A66" s="82"/>
      <c r="B66" s="127" t="s">
        <v>5</v>
      </c>
      <c r="C66" s="42">
        <v>0</v>
      </c>
      <c r="D66" s="42">
        <v>0</v>
      </c>
      <c r="E66" s="42">
        <v>0</v>
      </c>
      <c r="F66" s="42">
        <v>0</v>
      </c>
      <c r="G66" s="42" t="s">
        <v>27</v>
      </c>
      <c r="H66" s="38" t="s">
        <v>46</v>
      </c>
      <c r="I66" s="32"/>
      <c r="J66" s="32"/>
    </row>
    <row r="67" spans="1:12" s="1" customFormat="1" x14ac:dyDescent="0.25">
      <c r="A67" s="82">
        <v>1</v>
      </c>
      <c r="B67" s="120" t="s">
        <v>6</v>
      </c>
      <c r="C67" s="12" t="s">
        <v>3</v>
      </c>
      <c r="D67" s="12" t="s">
        <v>23</v>
      </c>
      <c r="E67" s="12" t="s">
        <v>25</v>
      </c>
      <c r="F67" s="12" t="s">
        <v>26</v>
      </c>
      <c r="G67" s="12" t="s">
        <v>34</v>
      </c>
      <c r="H67" s="19" t="str">
        <f>IF(G67="Heading","",$B$2&amp;"_"&amp;$B$3&amp;"_"&amp;$B$66&amp;"_0"&amp;A67&amp;".jpg")</f>
        <v>__RBS_01.jpg</v>
      </c>
      <c r="I67" s="20"/>
      <c r="J67" s="21"/>
      <c r="L67" s="30" t="s">
        <v>224</v>
      </c>
    </row>
    <row r="68" spans="1:12" s="1" customFormat="1" x14ac:dyDescent="0.25">
      <c r="A68" s="82">
        <v>2</v>
      </c>
      <c r="B68" s="119" t="s">
        <v>64</v>
      </c>
      <c r="C68" s="10" t="s">
        <v>3</v>
      </c>
      <c r="D68" s="10" t="s">
        <v>23</v>
      </c>
      <c r="E68" s="10" t="s">
        <v>25</v>
      </c>
      <c r="F68" s="10" t="s">
        <v>26</v>
      </c>
      <c r="G68" s="10" t="s">
        <v>34</v>
      </c>
      <c r="H68" s="22" t="str">
        <f>IF(G68="Heading","",$B$2&amp;"_"&amp;$B$3&amp;"_"&amp;$B$66&amp;"_0"&amp;A68&amp;".jpg")</f>
        <v>__RBS_02.jpg</v>
      </c>
      <c r="I68" s="23"/>
      <c r="J68" s="24"/>
      <c r="L68" s="30" t="s">
        <v>224</v>
      </c>
    </row>
    <row r="69" spans="1:12" x14ac:dyDescent="0.25">
      <c r="A69" s="82">
        <v>3</v>
      </c>
      <c r="B69" s="119" t="s">
        <v>187</v>
      </c>
      <c r="C69" s="10" t="s">
        <v>3</v>
      </c>
      <c r="D69" s="10" t="s">
        <v>23</v>
      </c>
      <c r="E69" s="10" t="s">
        <v>25</v>
      </c>
      <c r="F69" s="10" t="s">
        <v>26</v>
      </c>
      <c r="G69" s="10" t="str">
        <f t="shared" ref="G69:G71" si="13">IF(INDEX(C69:F69,IF($B$5=$C$7,1,IF($B$5=$D$7,2,IF($B$5=$E$7,3,4))))&gt;0,"Yes","No")</f>
        <v>Yes</v>
      </c>
      <c r="H69" s="22" t="str">
        <f>IF(G69="Heading","",$B$2&amp;"_"&amp;$B$3&amp;"_"&amp;$B$66&amp;"_0"&amp;A69&amp;".jpg")</f>
        <v>__RBS_03.jpg</v>
      </c>
      <c r="I69" s="23"/>
      <c r="J69" s="24"/>
      <c r="L69" s="30" t="s">
        <v>224</v>
      </c>
    </row>
    <row r="70" spans="1:12" x14ac:dyDescent="0.25">
      <c r="A70" s="82">
        <v>4</v>
      </c>
      <c r="B70" s="119" t="s">
        <v>17</v>
      </c>
      <c r="C70" s="10" t="s">
        <v>3</v>
      </c>
      <c r="D70" s="10" t="s">
        <v>23</v>
      </c>
      <c r="E70" s="10" t="s">
        <v>25</v>
      </c>
      <c r="F70" s="10" t="s">
        <v>26</v>
      </c>
      <c r="G70" s="10" t="str">
        <f t="shared" si="13"/>
        <v>Yes</v>
      </c>
      <c r="H70" s="22" t="str">
        <f>IF(G70="Heading","",$B$2&amp;"_"&amp;$B$3&amp;"_"&amp;$B$66&amp;"_0"&amp;A70&amp;".jpg")</f>
        <v>__RBS_04.jpg</v>
      </c>
      <c r="I70" s="23"/>
      <c r="J70" s="24"/>
      <c r="L70" s="30" t="s">
        <v>224</v>
      </c>
    </row>
    <row r="71" spans="1:12" x14ac:dyDescent="0.25">
      <c r="A71" s="82">
        <v>5</v>
      </c>
      <c r="B71" s="119" t="s">
        <v>188</v>
      </c>
      <c r="C71" s="10" t="s">
        <v>3</v>
      </c>
      <c r="D71" s="10" t="s">
        <v>23</v>
      </c>
      <c r="E71" s="10" t="s">
        <v>25</v>
      </c>
      <c r="F71" s="10" t="s">
        <v>26</v>
      </c>
      <c r="G71" s="10" t="str">
        <f t="shared" si="13"/>
        <v>Yes</v>
      </c>
      <c r="H71" s="22" t="str">
        <f>IF(G71="Heading","",$B$2&amp;"_"&amp;$B$3&amp;"_"&amp;$B$66&amp;"_0"&amp;A71&amp;".jpg")</f>
        <v>__RBS_05.jpg</v>
      </c>
      <c r="I71" s="23"/>
      <c r="J71" s="24"/>
      <c r="L71" s="30" t="s">
        <v>224</v>
      </c>
    </row>
    <row r="72" spans="1:12" ht="19.5" thickBot="1" x14ac:dyDescent="0.3">
      <c r="A72" s="82"/>
      <c r="B72" s="127" t="s">
        <v>7</v>
      </c>
      <c r="C72" s="5">
        <v>0</v>
      </c>
      <c r="D72" s="5">
        <v>0</v>
      </c>
      <c r="E72" s="5">
        <v>0</v>
      </c>
      <c r="F72" s="5">
        <v>0</v>
      </c>
      <c r="G72" s="1" t="s">
        <v>27</v>
      </c>
      <c r="H72" s="38" t="str">
        <f t="shared" ref="H72:H79" si="14">IF(G72="Heading","",G72)</f>
        <v/>
      </c>
      <c r="I72" s="32"/>
      <c r="J72" s="32"/>
    </row>
    <row r="73" spans="1:12" x14ac:dyDescent="0.25">
      <c r="A73" s="82">
        <v>1</v>
      </c>
      <c r="B73" s="120" t="s">
        <v>210</v>
      </c>
      <c r="C73" s="12" t="s">
        <v>3</v>
      </c>
      <c r="D73" s="12" t="s">
        <v>23</v>
      </c>
      <c r="E73" s="12" t="s">
        <v>25</v>
      </c>
      <c r="F73" s="12" t="s">
        <v>26</v>
      </c>
      <c r="G73" s="12" t="str">
        <f t="shared" ref="G73:G78" si="15">IF(INDEX(C73:F73,IF($B$5=$C$7,1,IF($B$5=$D$7,2,IF($B$5=$E$7,3,4))))&gt;0,"Yes","No")</f>
        <v>Yes</v>
      </c>
      <c r="H73" s="19" t="str">
        <f t="shared" ref="H73:H78" si="16">IF(G73="Heading","",$B$2&amp;"_"&amp;$B$3&amp;"_"&amp;$B$72&amp;"_0"&amp;A73&amp;".jpg")</f>
        <v>__Transmission_01.jpg</v>
      </c>
      <c r="I73" s="20"/>
      <c r="J73" s="21"/>
      <c r="L73" s="30" t="s">
        <v>224</v>
      </c>
    </row>
    <row r="74" spans="1:12" x14ac:dyDescent="0.25">
      <c r="A74" s="82">
        <v>2</v>
      </c>
      <c r="B74" s="119" t="s">
        <v>211</v>
      </c>
      <c r="C74" s="10" t="s">
        <v>3</v>
      </c>
      <c r="D74" s="10" t="s">
        <v>23</v>
      </c>
      <c r="E74" s="10" t="s">
        <v>25</v>
      </c>
      <c r="F74" s="10" t="s">
        <v>26</v>
      </c>
      <c r="G74" s="10" t="str">
        <f t="shared" si="15"/>
        <v>Yes</v>
      </c>
      <c r="H74" s="22" t="str">
        <f t="shared" si="16"/>
        <v>__Transmission_02.jpg</v>
      </c>
      <c r="I74" s="23"/>
      <c r="J74" s="24"/>
      <c r="L74" s="30" t="s">
        <v>224</v>
      </c>
    </row>
    <row r="75" spans="1:12" x14ac:dyDescent="0.25">
      <c r="A75" s="82">
        <v>3</v>
      </c>
      <c r="B75" s="119" t="s">
        <v>212</v>
      </c>
      <c r="C75" s="10" t="s">
        <v>3</v>
      </c>
      <c r="D75" s="10" t="s">
        <v>23</v>
      </c>
      <c r="E75" s="10" t="s">
        <v>25</v>
      </c>
      <c r="F75" s="10" t="s">
        <v>26</v>
      </c>
      <c r="G75" s="10" t="str">
        <f t="shared" si="15"/>
        <v>Yes</v>
      </c>
      <c r="H75" s="22" t="str">
        <f t="shared" si="16"/>
        <v>__Transmission_03.jpg</v>
      </c>
      <c r="I75" s="23"/>
      <c r="J75" s="24"/>
      <c r="L75" s="30" t="s">
        <v>224</v>
      </c>
    </row>
    <row r="76" spans="1:12" x14ac:dyDescent="0.25">
      <c r="A76" s="82">
        <v>4</v>
      </c>
      <c r="B76" s="119" t="s">
        <v>189</v>
      </c>
      <c r="C76" s="10" t="s">
        <v>3</v>
      </c>
      <c r="D76" s="10" t="s">
        <v>23</v>
      </c>
      <c r="E76" s="10" t="s">
        <v>25</v>
      </c>
      <c r="F76" s="10" t="s">
        <v>26</v>
      </c>
      <c r="G76" s="10" t="str">
        <f t="shared" si="15"/>
        <v>Yes</v>
      </c>
      <c r="H76" s="22" t="str">
        <f t="shared" si="16"/>
        <v>__Transmission_04.jpg</v>
      </c>
      <c r="I76" s="23"/>
      <c r="J76" s="24"/>
      <c r="L76" s="30" t="s">
        <v>224</v>
      </c>
    </row>
    <row r="77" spans="1:12" x14ac:dyDescent="0.25">
      <c r="A77" s="82">
        <v>5</v>
      </c>
      <c r="B77" s="119" t="s">
        <v>209</v>
      </c>
      <c r="C77" s="10" t="s">
        <v>3</v>
      </c>
      <c r="D77" s="10" t="s">
        <v>23</v>
      </c>
      <c r="E77" s="10" t="s">
        <v>25</v>
      </c>
      <c r="F77" s="10" t="s">
        <v>26</v>
      </c>
      <c r="G77" s="10" t="str">
        <f t="shared" si="15"/>
        <v>Yes</v>
      </c>
      <c r="H77" s="22" t="str">
        <f t="shared" si="16"/>
        <v>__Transmission_05.jpg</v>
      </c>
      <c r="I77" s="23"/>
      <c r="J77" s="24"/>
      <c r="L77" s="30" t="s">
        <v>224</v>
      </c>
    </row>
    <row r="78" spans="1:12" ht="30.75" thickBot="1" x14ac:dyDescent="0.3">
      <c r="A78" s="82">
        <v>6</v>
      </c>
      <c r="B78" s="123" t="s">
        <v>199</v>
      </c>
      <c r="C78" s="14" t="s">
        <v>3</v>
      </c>
      <c r="D78" s="14" t="s">
        <v>23</v>
      </c>
      <c r="E78" s="14" t="s">
        <v>25</v>
      </c>
      <c r="F78" s="14" t="s">
        <v>26</v>
      </c>
      <c r="G78" s="14" t="str">
        <f t="shared" si="15"/>
        <v>Yes</v>
      </c>
      <c r="H78" s="25" t="str">
        <f t="shared" si="16"/>
        <v>__Transmission_06.jpg</v>
      </c>
      <c r="I78" s="23"/>
      <c r="J78" s="27"/>
      <c r="L78" s="30" t="s">
        <v>224</v>
      </c>
    </row>
    <row r="79" spans="1:12" ht="19.5" thickBot="1" x14ac:dyDescent="0.3">
      <c r="A79" s="82"/>
      <c r="B79" s="127" t="s">
        <v>71</v>
      </c>
      <c r="C79" s="5">
        <v>0</v>
      </c>
      <c r="D79" s="5">
        <v>0</v>
      </c>
      <c r="E79" s="5">
        <v>0</v>
      </c>
      <c r="F79" s="5">
        <v>0</v>
      </c>
      <c r="G79" s="1" t="s">
        <v>27</v>
      </c>
      <c r="H79" s="38" t="str">
        <f t="shared" si="14"/>
        <v/>
      </c>
      <c r="I79" s="32"/>
      <c r="J79" s="32"/>
    </row>
    <row r="80" spans="1:12" x14ac:dyDescent="0.25">
      <c r="A80" s="82">
        <v>1</v>
      </c>
      <c r="B80" s="120" t="s">
        <v>191</v>
      </c>
      <c r="C80" s="12" t="s">
        <v>3</v>
      </c>
      <c r="D80" s="12" t="s">
        <v>23</v>
      </c>
      <c r="E80" s="12" t="s">
        <v>25</v>
      </c>
      <c r="F80" s="12" t="s">
        <v>26</v>
      </c>
      <c r="G80" s="12" t="str">
        <f>IF(INDEX(C80:F80,IF($B$5=$C$7,1,IF($B$5=$D$7,2,IF($B$5=$E$7,3,4))))&gt;0,"Yes","No")</f>
        <v>Yes</v>
      </c>
      <c r="H80" s="19" t="str">
        <f>IF(G80="Heading","",$B$2&amp;"_"&amp;$B$3&amp;"_"&amp;$B$79&amp;"_0"&amp;A80&amp;".jpg")</f>
        <v>__Earthing/Surge Protection_01.jpg</v>
      </c>
      <c r="I80" s="20"/>
      <c r="J80" s="21"/>
      <c r="L80" s="30" t="s">
        <v>224</v>
      </c>
    </row>
    <row r="81" spans="1:12" x14ac:dyDescent="0.25">
      <c r="A81" s="82">
        <v>2</v>
      </c>
      <c r="B81" s="119" t="s">
        <v>205</v>
      </c>
      <c r="C81" s="10" t="s">
        <v>3</v>
      </c>
      <c r="D81" s="10" t="s">
        <v>23</v>
      </c>
      <c r="E81" s="10" t="s">
        <v>25</v>
      </c>
      <c r="F81" s="10" t="s">
        <v>26</v>
      </c>
      <c r="G81" s="10" t="str">
        <f>IF(INDEX(C81:F81,IF($B$5=$C$7,1,IF($B$5=$D$7,2,IF($B$5=$E$7,3,4))))&gt;0,"Yes","No")</f>
        <v>Yes</v>
      </c>
      <c r="H81" s="22" t="str">
        <f>IF(G81="Heading","",$B$2&amp;"_"&amp;$B$3&amp;"_"&amp;$B$79&amp;"_0"&amp;A81&amp;".jpg")</f>
        <v>__Earthing/Surge Protection_02.jpg</v>
      </c>
      <c r="I81" s="23"/>
      <c r="J81" s="24"/>
      <c r="L81" s="30" t="s">
        <v>224</v>
      </c>
    </row>
    <row r="82" spans="1:12" ht="19.5" thickBot="1" x14ac:dyDescent="0.3">
      <c r="A82" s="82"/>
      <c r="B82" s="127" t="s">
        <v>9</v>
      </c>
      <c r="C82" s="5">
        <v>0</v>
      </c>
      <c r="D82" s="5">
        <v>0</v>
      </c>
      <c r="E82" s="5">
        <v>0</v>
      </c>
      <c r="F82" s="5">
        <v>0</v>
      </c>
      <c r="G82" s="1" t="s">
        <v>27</v>
      </c>
      <c r="H82" s="38" t="str">
        <f t="shared" ref="H82" si="17">IF(G82="Heading","",G82)</f>
        <v/>
      </c>
      <c r="I82" s="32"/>
      <c r="J82" s="32"/>
    </row>
    <row r="83" spans="1:12" x14ac:dyDescent="0.25">
      <c r="A83" s="82">
        <v>1</v>
      </c>
      <c r="B83" s="120" t="s">
        <v>190</v>
      </c>
      <c r="C83" s="12" t="s">
        <v>3</v>
      </c>
      <c r="D83" s="12" t="s">
        <v>23</v>
      </c>
      <c r="E83" s="12" t="s">
        <v>25</v>
      </c>
      <c r="F83" s="12" t="s">
        <v>26</v>
      </c>
      <c r="G83" s="12" t="str">
        <f>IF(INDEX(C83:F83,IF($B$5=$C$7,1,IF($B$5=$D$7,2,IF($B$5=$E$7,3,4))))&gt;0,"Yes","No")</f>
        <v>Yes</v>
      </c>
      <c r="H83" s="19" t="str">
        <f>IF(G83="Heading","",$B$2&amp;"_"&amp;$B$3&amp;"_"&amp;$B$82&amp;"_0"&amp;A83&amp;".jpg")</f>
        <v>__DC_01.jpg</v>
      </c>
      <c r="I83" s="20"/>
      <c r="J83" s="21"/>
      <c r="L83" s="30" t="s">
        <v>224</v>
      </c>
    </row>
    <row r="84" spans="1:12" x14ac:dyDescent="0.25">
      <c r="A84" s="82">
        <v>2</v>
      </c>
      <c r="B84" s="119" t="s">
        <v>2</v>
      </c>
      <c r="C84" s="10" t="s">
        <v>3</v>
      </c>
      <c r="D84" s="10" t="s">
        <v>23</v>
      </c>
      <c r="E84" s="10" t="s">
        <v>25</v>
      </c>
      <c r="F84" s="10" t="s">
        <v>26</v>
      </c>
      <c r="G84" s="10" t="str">
        <f>IF(INDEX(C84:F84,IF($B$5=$C$7,1,IF($B$5=$D$7,2,IF($B$5=$E$7,3,4))))&gt;0,"Yes","No")</f>
        <v>Yes</v>
      </c>
      <c r="H84" s="22" t="str">
        <f>IF(G84="Heading","",$B$2&amp;"_"&amp;$B$3&amp;"_"&amp;$B$82&amp;"_0"&amp;A84&amp;".jpg")</f>
        <v>__DC_02.jpg</v>
      </c>
      <c r="I84" s="23"/>
      <c r="J84" s="24"/>
      <c r="L84" s="30" t="s">
        <v>224</v>
      </c>
    </row>
    <row r="85" spans="1:12" ht="15.75" thickBot="1" x14ac:dyDescent="0.3">
      <c r="A85" s="82">
        <v>3</v>
      </c>
      <c r="B85" s="123" t="s">
        <v>14</v>
      </c>
      <c r="C85" s="14" t="s">
        <v>3</v>
      </c>
      <c r="D85" s="14" t="s">
        <v>23</v>
      </c>
      <c r="E85" s="14" t="s">
        <v>25</v>
      </c>
      <c r="F85" s="14" t="s">
        <v>26</v>
      </c>
      <c r="G85" s="14" t="str">
        <f>IF(INDEX(C85:F85,IF($B$5=$C$7,1,IF($B$5=$D$7,2,IF($B$5=$E$7,3,4))))&gt;0,"Yes","No")</f>
        <v>Yes</v>
      </c>
      <c r="H85" s="25" t="str">
        <f>IF(G85="Heading","",$B$2&amp;"_"&amp;$B$3&amp;"_"&amp;$B$82&amp;"_0"&amp;A85&amp;".jpg")</f>
        <v>__DC_03.jpg</v>
      </c>
      <c r="I85" s="26"/>
      <c r="J85" s="27"/>
      <c r="L85" s="30" t="s">
        <v>224</v>
      </c>
    </row>
    <row r="86" spans="1:12" x14ac:dyDescent="0.25">
      <c r="C86" s="5">
        <v>0</v>
      </c>
      <c r="D86" s="5">
        <v>0</v>
      </c>
      <c r="E86" s="5">
        <v>0</v>
      </c>
      <c r="F86" s="5">
        <v>0</v>
      </c>
      <c r="G86" s="5"/>
      <c r="H86" s="37"/>
    </row>
    <row r="87" spans="1:12" collapsed="1" x14ac:dyDescent="0.25">
      <c r="B87" s="30"/>
      <c r="C87" s="6">
        <f>COUNTIF(C9:C85,"G")</f>
        <v>62</v>
      </c>
      <c r="D87" s="6">
        <f>COUNTIF(D9:D85,"C")</f>
        <v>54</v>
      </c>
      <c r="E87" s="6">
        <f>COUNTIF(E9:E85,"R")</f>
        <v>50</v>
      </c>
      <c r="F87" s="6">
        <f>COUNTIF(F9:F85,"I")</f>
        <v>49</v>
      </c>
    </row>
    <row r="97" spans="1:8" x14ac:dyDescent="0.25">
      <c r="A97" s="28"/>
      <c r="B97" s="6"/>
      <c r="G97" s="31"/>
      <c r="H97" s="30"/>
    </row>
  </sheetData>
  <autoFilter ref="A6:J97">
    <filterColumn colId="6">
      <filters blank="1">
        <filter val="Heading"/>
        <filter val="Yes"/>
      </filters>
    </filterColumn>
  </autoFilter>
  <mergeCells count="1">
    <mergeCell ref="H1:J1"/>
  </mergeCells>
  <conditionalFormatting sqref="J9:J15 J48:J55 J25:J32 J80:J81 J67:J71 J57:J59">
    <cfRule type="expression" dxfId="5" priority="556">
      <formula>I9&lt;&gt;"Yes"</formula>
    </cfRule>
  </conditionalFormatting>
  <conditionalFormatting sqref="J15:J23">
    <cfRule type="expression" dxfId="4" priority="555">
      <formula>I15&lt;&gt;"Yes"</formula>
    </cfRule>
  </conditionalFormatting>
  <conditionalFormatting sqref="J35:J41 J43:J46 J65 J73:J78 J83:J85">
    <cfRule type="expression" dxfId="3" priority="553">
      <formula>I35&lt;&gt;"Yes"</formula>
    </cfRule>
  </conditionalFormatting>
  <conditionalFormatting sqref="J33">
    <cfRule type="expression" dxfId="2" priority="24">
      <formula>I33&lt;&gt;"Yes"</formula>
    </cfRule>
  </conditionalFormatting>
  <conditionalFormatting sqref="J61">
    <cfRule type="expression" dxfId="1" priority="6">
      <formula>I61&lt;&gt;"Yes"</formula>
    </cfRule>
  </conditionalFormatting>
  <dataValidations count="4">
    <dataValidation type="list" showErrorMessage="1" error="Select value &quot;Yes&quot;, &quot;No&quot; or &quot;N/A&quot;" sqref="I83:I85 I69:I71 I80:I81 I48:I55 I43:I46 I35:I41 I9:I23 I73:I78 I25:I33 I62 I57:I59">
      <formula1>$C$4:$E$4</formula1>
    </dataValidation>
    <dataValidation type="list" showDropDown="1" showErrorMessage="1" sqref="B6">
      <formula1>$C$7:$F$7</formula1>
    </dataValidation>
    <dataValidation type="list" showDropDown="1" showInputMessage="1" showErrorMessage="1" error="Site type must be selected using the control." prompt="Site type must be selected using the control." sqref="B5">
      <formula1>$C$7:$F$7</formula1>
    </dataValidation>
    <dataValidation type="list" showErrorMessage="1" error="Select value &quot;Yes&quot;, &quot;No&quot; or &quot;N/A&quot;" sqref="I63:I68 I61">
      <formula1>$C$3:$E$3</formula1>
    </dataValidation>
  </dataValidations>
  <pageMargins left="0.2" right="0.2" top="0.5" bottom="0.5" header="0" footer="0"/>
  <pageSetup paperSize="9" scale="5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5" r:id="rId4" name="Spinner 11">
              <controlPr defaultSize="0" print="0" autoPict="0" macro="[0]!Spinner11_Change">
                <anchor moveWithCells="1" sizeWithCells="1">
                  <from>
                    <xdr:col>1</xdr:col>
                    <xdr:colOff>5010150</xdr:colOff>
                    <xdr:row>4</xdr:row>
                    <xdr:rowOff>0</xdr:rowOff>
                  </from>
                  <to>
                    <xdr:col>1</xdr:col>
                    <xdr:colOff>5314950</xdr:colOff>
                    <xdr:row>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F16"/>
  <sheetViews>
    <sheetView workbookViewId="0">
      <selection activeCell="E10" sqref="E10"/>
    </sheetView>
  </sheetViews>
  <sheetFormatPr defaultColWidth="9.140625" defaultRowHeight="15" x14ac:dyDescent="0.25"/>
  <cols>
    <col min="1" max="1" width="9.140625" style="55"/>
    <col min="2" max="2" width="10.7109375" style="89" bestFit="1" customWidth="1"/>
    <col min="3" max="3" width="13.42578125" style="55" customWidth="1"/>
    <col min="4" max="4" width="13.7109375" style="55" customWidth="1"/>
    <col min="5" max="5" width="28.42578125" style="55" bestFit="1" customWidth="1"/>
    <col min="6" max="6" width="21" style="55" customWidth="1"/>
    <col min="7" max="16384" width="9.140625" style="55"/>
  </cols>
  <sheetData>
    <row r="1" spans="2:6" ht="15.75" thickBot="1" x14ac:dyDescent="0.3"/>
    <row r="2" spans="2:6" ht="15.75" thickBot="1" x14ac:dyDescent="0.3">
      <c r="B2" s="179" t="s">
        <v>49</v>
      </c>
      <c r="C2" s="180"/>
      <c r="D2" s="180"/>
      <c r="E2" s="180"/>
      <c r="F2" s="181"/>
    </row>
    <row r="3" spans="2:6" ht="15.75" thickBot="1" x14ac:dyDescent="0.3">
      <c r="B3" s="90" t="s">
        <v>50</v>
      </c>
      <c r="C3" s="56" t="s">
        <v>51</v>
      </c>
      <c r="D3" s="56" t="s">
        <v>52</v>
      </c>
      <c r="E3" s="56" t="s">
        <v>53</v>
      </c>
      <c r="F3" s="57" t="s">
        <v>54</v>
      </c>
    </row>
    <row r="4" spans="2:6" x14ac:dyDescent="0.25">
      <c r="B4" s="91">
        <v>41032</v>
      </c>
      <c r="C4" s="68" t="s">
        <v>65</v>
      </c>
      <c r="D4" s="58" t="s">
        <v>57</v>
      </c>
      <c r="E4" s="59" t="s">
        <v>66</v>
      </c>
      <c r="F4" s="60"/>
    </row>
    <row r="5" spans="2:6" x14ac:dyDescent="0.25">
      <c r="B5" s="92">
        <v>41033</v>
      </c>
      <c r="C5" s="69" t="s">
        <v>77</v>
      </c>
      <c r="D5" s="61" t="s">
        <v>78</v>
      </c>
      <c r="E5" s="62" t="s">
        <v>79</v>
      </c>
      <c r="F5" s="63"/>
    </row>
    <row r="6" spans="2:6" x14ac:dyDescent="0.25">
      <c r="B6" s="92">
        <v>41039</v>
      </c>
      <c r="C6" s="69" t="s">
        <v>81</v>
      </c>
      <c r="D6" s="61" t="s">
        <v>78</v>
      </c>
      <c r="E6" s="62" t="s">
        <v>82</v>
      </c>
      <c r="F6" s="63"/>
    </row>
    <row r="7" spans="2:6" x14ac:dyDescent="0.25">
      <c r="B7" s="92">
        <v>41043</v>
      </c>
      <c r="C7" s="69" t="s">
        <v>151</v>
      </c>
      <c r="D7" s="61" t="s">
        <v>78</v>
      </c>
      <c r="E7" s="62" t="s">
        <v>152</v>
      </c>
      <c r="F7" s="63"/>
    </row>
    <row r="8" spans="2:6" ht="45" x14ac:dyDescent="0.25">
      <c r="B8" s="92">
        <v>41535</v>
      </c>
      <c r="C8" s="69" t="s">
        <v>206</v>
      </c>
      <c r="D8" s="61" t="s">
        <v>207</v>
      </c>
      <c r="E8" s="62" t="s">
        <v>213</v>
      </c>
      <c r="F8" s="63"/>
    </row>
    <row r="9" spans="2:6" ht="57.6" x14ac:dyDescent="0.3">
      <c r="B9" s="92">
        <v>41544</v>
      </c>
      <c r="C9" s="69" t="s">
        <v>215</v>
      </c>
      <c r="D9" s="61" t="s">
        <v>216</v>
      </c>
      <c r="E9" s="62" t="s">
        <v>221</v>
      </c>
      <c r="F9" s="63"/>
    </row>
    <row r="10" spans="2:6" ht="57.6" x14ac:dyDescent="0.3">
      <c r="B10" s="114">
        <v>42095</v>
      </c>
      <c r="C10" s="115" t="s">
        <v>226</v>
      </c>
      <c r="D10" s="116" t="s">
        <v>78</v>
      </c>
      <c r="E10" s="117" t="s">
        <v>232</v>
      </c>
      <c r="F10" s="118"/>
    </row>
    <row r="11" spans="2:6" ht="14.45" x14ac:dyDescent="0.3">
      <c r="B11" s="114"/>
      <c r="C11" s="115"/>
      <c r="D11" s="116"/>
      <c r="E11" s="117"/>
      <c r="F11" s="118"/>
    </row>
    <row r="12" spans="2:6" thickBot="1" x14ac:dyDescent="0.35">
      <c r="B12" s="93"/>
      <c r="C12" s="70"/>
      <c r="D12" s="64"/>
      <c r="E12" s="65"/>
      <c r="F12" s="66"/>
    </row>
    <row r="13" spans="2:6" x14ac:dyDescent="0.25">
      <c r="B13" s="94"/>
      <c r="C13" s="72"/>
      <c r="D13" s="71"/>
      <c r="E13" s="73"/>
      <c r="F13" s="71"/>
    </row>
    <row r="14" spans="2:6" x14ac:dyDescent="0.25">
      <c r="B14" s="94"/>
      <c r="C14" s="72"/>
      <c r="D14" s="71"/>
      <c r="E14" s="73"/>
      <c r="F14" s="71"/>
    </row>
    <row r="15" spans="2:6" x14ac:dyDescent="0.25">
      <c r="B15" s="94"/>
      <c r="C15" s="72"/>
      <c r="D15" s="71"/>
      <c r="E15" s="73"/>
      <c r="F15" s="71"/>
    </row>
    <row r="16" spans="2:6" x14ac:dyDescent="0.25">
      <c r="B16" s="94"/>
      <c r="C16" s="72"/>
      <c r="D16" s="71"/>
      <c r="E16" s="73"/>
      <c r="F16" s="71"/>
    </row>
  </sheetData>
  <mergeCells count="1">
    <mergeCell ref="B2:F2"/>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L14"/>
  <sheetViews>
    <sheetView zoomScale="85" zoomScaleNormal="85" workbookViewId="0">
      <selection activeCell="B3" sqref="B3:B8"/>
    </sheetView>
  </sheetViews>
  <sheetFormatPr defaultRowHeight="15" x14ac:dyDescent="0.25"/>
  <cols>
    <col min="2" max="2" width="60.5703125" bestFit="1" customWidth="1"/>
    <col min="3" max="3" width="8.85546875" customWidth="1"/>
    <col min="8" max="8" width="47.140625" customWidth="1"/>
  </cols>
  <sheetData>
    <row r="2" spans="1:12" s="1" customFormat="1" ht="18.600000000000001" thickBot="1" x14ac:dyDescent="0.4">
      <c r="A2" s="84"/>
      <c r="B2" s="46" t="s">
        <v>72</v>
      </c>
      <c r="C2" s="13">
        <v>0</v>
      </c>
      <c r="D2" s="13">
        <v>0</v>
      </c>
      <c r="E2" s="13">
        <v>0</v>
      </c>
      <c r="F2" s="13">
        <v>0</v>
      </c>
      <c r="G2" s="3" t="s">
        <v>27</v>
      </c>
      <c r="H2" s="38" t="str">
        <f t="shared" ref="H2" si="0">IF(G2="Heading","",G2)</f>
        <v/>
      </c>
      <c r="I2" s="32"/>
      <c r="J2" s="32"/>
    </row>
    <row r="3" spans="1:12" s="1" customFormat="1" ht="14.45" x14ac:dyDescent="0.3">
      <c r="A3" s="82">
        <v>1</v>
      </c>
      <c r="B3" s="16" t="s">
        <v>192</v>
      </c>
      <c r="C3" s="12" t="s">
        <v>3</v>
      </c>
      <c r="D3" s="12" t="s">
        <v>23</v>
      </c>
      <c r="E3" s="12" t="s">
        <v>25</v>
      </c>
      <c r="F3" s="12" t="s">
        <v>26</v>
      </c>
      <c r="G3" s="12" t="str">
        <f>IF(INDEX(C3:F3,IF(Photos!$B$5=Photos!$C$7,1,IF(Photos!$B$5=Photos!$D$7,2,IF(Photos!$B$5=Photos!$E$7,3,4))))&gt;0,"Yes","No")</f>
        <v>Yes</v>
      </c>
      <c r="H3" s="19" t="str">
        <f>IF(G3="Heading","",$B$2&amp;"_"&amp;$B$3&amp;"_"&amp;$B2&amp;"_0"&amp;A3&amp;".jpg")</f>
        <v>RF_RRU overall typical all connections, labels, weather and bird proofing to be visible_RF_01.jpg</v>
      </c>
      <c r="I3" s="20"/>
      <c r="J3" s="21"/>
      <c r="L3" s="1" t="s">
        <v>224</v>
      </c>
    </row>
    <row r="4" spans="1:12" s="1" customFormat="1" ht="28.9" x14ac:dyDescent="0.3">
      <c r="A4" s="82">
        <v>2</v>
      </c>
      <c r="B4" s="110" t="s">
        <v>193</v>
      </c>
      <c r="C4" s="10" t="s">
        <v>3</v>
      </c>
      <c r="D4" s="10" t="s">
        <v>23</v>
      </c>
      <c r="E4" s="10" t="s">
        <v>25</v>
      </c>
      <c r="F4" s="10" t="s">
        <v>26</v>
      </c>
      <c r="G4" s="10" t="str">
        <f>IF(INDEX(C4:F4,IF(Photos!$B$5=Photos!$C$7,1,IF(Photos!$B$5=Photos!$D$7,2,IF(Photos!$B$5=Photos!$E$7,3,4))))&gt;0,"Yes","No")</f>
        <v>Yes</v>
      </c>
      <c r="H4" s="22" t="str">
        <f>IF(G4="Heading","",$B$2&amp;"_"&amp;$B$3&amp;"_"&amp;$B2&amp;"_0"&amp;A4&amp;".jpg")</f>
        <v>RF_RRU overall typical all connections, labels, weather and bird proofing to be visible_RF_02.jpg</v>
      </c>
      <c r="I4" s="23"/>
      <c r="J4" s="24"/>
      <c r="L4" s="1" t="s">
        <v>224</v>
      </c>
    </row>
    <row r="5" spans="1:12" s="1" customFormat="1" ht="28.9" x14ac:dyDescent="0.3">
      <c r="A5" s="82">
        <v>3</v>
      </c>
      <c r="B5" s="110" t="s">
        <v>194</v>
      </c>
      <c r="C5" s="10" t="s">
        <v>3</v>
      </c>
      <c r="D5" s="10" t="s">
        <v>23</v>
      </c>
      <c r="E5" s="10" t="s">
        <v>25</v>
      </c>
      <c r="F5" s="10" t="s">
        <v>26</v>
      </c>
      <c r="G5" s="10" t="str">
        <f>IF(INDEX(C5:F5,IF(Photos!$B$5=Photos!$C$7,1,IF(Photos!$B$5=Photos!$D$7,2,IF(Photos!$B$5=Photos!$E$7,3,4))))&gt;0,"Yes","No")</f>
        <v>Yes</v>
      </c>
      <c r="H5" s="22" t="str">
        <f>IF(G5="Heading","",$B$2&amp;"_"&amp;$B$3&amp;"_"&amp;$B2&amp;"_0"&amp;A5&amp;".jpg")</f>
        <v>RF_RRU overall typical all connections, labels, weather and bird proofing to be visible_RF_03.jpg</v>
      </c>
      <c r="I5" s="23"/>
      <c r="J5" s="24"/>
      <c r="L5" s="1" t="s">
        <v>224</v>
      </c>
    </row>
    <row r="6" spans="1:12" s="1" customFormat="1" ht="14.45" x14ac:dyDescent="0.3">
      <c r="A6" s="82">
        <v>4</v>
      </c>
      <c r="B6" s="17" t="s">
        <v>195</v>
      </c>
      <c r="C6" s="10" t="s">
        <v>3</v>
      </c>
      <c r="D6" s="10" t="s">
        <v>23</v>
      </c>
      <c r="E6" s="10" t="s">
        <v>25</v>
      </c>
      <c r="F6" s="10" t="s">
        <v>26</v>
      </c>
      <c r="G6" s="10" t="str">
        <f>IF(INDEX(C6:F6,IF(Photos!$B$5=Photos!$C$7,1,IF(Photos!$B$5=Photos!$D$7,2,IF(Photos!$B$5=Photos!$E$7,3,4))))&gt;0,"Yes","No")</f>
        <v>Yes</v>
      </c>
      <c r="H6" s="22" t="str">
        <f>IF(G6="Heading","",$B$2&amp;"_"&amp;$B$3&amp;"_"&amp;$B2&amp;"_0"&amp;A6&amp;".jpg")</f>
        <v>RF_RRU overall typical all connections, labels, weather and bird proofing to be visible_RF_04.jpg</v>
      </c>
      <c r="I6" s="23"/>
      <c r="J6" s="24"/>
      <c r="L6" s="1" t="s">
        <v>224</v>
      </c>
    </row>
    <row r="7" spans="1:12" s="1" customFormat="1" ht="14.45" x14ac:dyDescent="0.3">
      <c r="A7" s="82">
        <v>5</v>
      </c>
      <c r="B7" s="17" t="s">
        <v>196</v>
      </c>
      <c r="C7" s="10" t="s">
        <v>3</v>
      </c>
      <c r="D7" s="10" t="s">
        <v>23</v>
      </c>
      <c r="E7" s="10" t="s">
        <v>25</v>
      </c>
      <c r="F7" s="10" t="s">
        <v>26</v>
      </c>
      <c r="G7" s="10" t="str">
        <f>IF(INDEX(C7:F7,IF(Photos!$B$5=Photos!$C$7,1,IF(Photos!$B$5=Photos!$D$7,2,IF(Photos!$B$5=Photos!$E$7,3,4))))&gt;0,"Yes","No")</f>
        <v>Yes</v>
      </c>
      <c r="H7" s="22" t="str">
        <f>IF(G7="Heading","",$B$2&amp;"_"&amp;$B$3&amp;"_"&amp;$B2&amp;"_0"&amp;A7&amp;".jpg")</f>
        <v>RF_RRU overall typical all connections, labels, weather and bird proofing to be visible_RF_05.jpg</v>
      </c>
      <c r="I7" s="23"/>
      <c r="J7" s="24"/>
      <c r="L7" s="1" t="s">
        <v>224</v>
      </c>
    </row>
    <row r="8" spans="1:12" s="1" customFormat="1" thickBot="1" x14ac:dyDescent="0.35">
      <c r="A8" s="82">
        <v>6</v>
      </c>
      <c r="B8" s="18" t="s">
        <v>1</v>
      </c>
      <c r="C8" s="14" t="s">
        <v>3</v>
      </c>
      <c r="D8" s="14" t="s">
        <v>23</v>
      </c>
      <c r="E8" s="14" t="s">
        <v>25</v>
      </c>
      <c r="F8" s="14" t="s">
        <v>26</v>
      </c>
      <c r="G8" s="14" t="str">
        <f>IF(INDEX(C8:F8,IF(Photos!$B$5=Photos!$C$7,1,IF(Photos!$B$5=Photos!$D$7,2,IF(Photos!$B$5=Photos!$E$7,3,4))))&gt;0,"Yes","No")</f>
        <v>Yes</v>
      </c>
      <c r="H8" s="25" t="str">
        <f>IF(G8="Heading","",$B$2&amp;"_"&amp;$B$3&amp;"_"&amp;$B2&amp;"_0"&amp;A8&amp;".jpg")</f>
        <v>RF_RRU overall typical all connections, labels, weather and bird proofing to be visible_RF_06.jpg</v>
      </c>
      <c r="I8" s="26"/>
      <c r="J8" s="27"/>
      <c r="L8" s="1" t="s">
        <v>224</v>
      </c>
    </row>
    <row r="10" spans="1:12" s="1" customFormat="1" ht="18.600000000000001" thickBot="1" x14ac:dyDescent="0.4">
      <c r="A10" s="84"/>
      <c r="B10" s="40" t="s">
        <v>229</v>
      </c>
      <c r="C10" s="5">
        <v>0</v>
      </c>
      <c r="D10" s="5">
        <v>0</v>
      </c>
      <c r="E10" s="5">
        <v>0</v>
      </c>
      <c r="F10" s="5">
        <v>0</v>
      </c>
      <c r="G10" s="1" t="s">
        <v>27</v>
      </c>
      <c r="H10" s="31" t="str">
        <f t="shared" ref="H10" si="1">IF(G10="Heading","",G10)</f>
        <v/>
      </c>
      <c r="I10" s="30"/>
      <c r="J10" s="30"/>
    </row>
    <row r="11" spans="1:12" s="1" customFormat="1" ht="14.45" x14ac:dyDescent="0.3">
      <c r="A11" s="82">
        <v>1</v>
      </c>
      <c r="B11" s="16" t="s">
        <v>197</v>
      </c>
      <c r="C11" s="12" t="s">
        <v>3</v>
      </c>
      <c r="D11" s="12" t="s">
        <v>23</v>
      </c>
      <c r="E11" s="12" t="s">
        <v>25</v>
      </c>
      <c r="F11" s="12" t="s">
        <v>26</v>
      </c>
      <c r="G11" s="12" t="str">
        <f>IF(INDEX(C11:F11,IF(Photos!$B$5=Photos!$C$7,1,IF(Photos!$B$5=Photos!$D$7,2,IF(Photos!$B$5=Photos!$E$7,3,4))))&gt;0,"Yes","No")</f>
        <v>Yes</v>
      </c>
      <c r="H11" s="19" t="str">
        <f>IF(G11="Heading","",$B$2&amp;"_"&amp;$B$3&amp;"_"&amp;$B10&amp;"_0"&amp;A11&amp;".jpg")</f>
        <v>RF_RRU overall typical all connections, labels, weather and bird proofing to be visible_uWave_xx_facing_SiteName_01.jpg</v>
      </c>
      <c r="I11" s="20"/>
      <c r="J11" s="21"/>
      <c r="L11" s="1" t="s">
        <v>224</v>
      </c>
    </row>
    <row r="12" spans="1:12" s="1" customFormat="1" ht="14.45" x14ac:dyDescent="0.3">
      <c r="A12" s="82">
        <v>2</v>
      </c>
      <c r="B12" s="17" t="s">
        <v>198</v>
      </c>
      <c r="C12" s="10" t="s">
        <v>3</v>
      </c>
      <c r="D12" s="10" t="s">
        <v>23</v>
      </c>
      <c r="E12" s="10" t="s">
        <v>25</v>
      </c>
      <c r="F12" s="10" t="s">
        <v>26</v>
      </c>
      <c r="G12" s="10" t="str">
        <f>IF(INDEX(C12:F12,IF(Photos!$B$5=Photos!$C$7,1,IF(Photos!$B$5=Photos!$D$7,2,IF(Photos!$B$5=Photos!$E$7,3,4))))&gt;0,"Yes","No")</f>
        <v>Yes</v>
      </c>
      <c r="H12" s="22" t="str">
        <f>IF(G12="Heading","",$B$2&amp;"_"&amp;$B$3&amp;"_"&amp;$B10&amp;"_0"&amp;A12&amp;".jpg")</f>
        <v>RF_RRU overall typical all connections, labels, weather and bird proofing to be visible_uWave_xx_facing_SiteName_02.jpg</v>
      </c>
      <c r="I12" s="23"/>
      <c r="J12" s="24"/>
      <c r="L12" s="1" t="s">
        <v>224</v>
      </c>
    </row>
    <row r="13" spans="1:12" s="1" customFormat="1" ht="14.45" x14ac:dyDescent="0.3">
      <c r="A13" s="82">
        <v>3</v>
      </c>
      <c r="B13" s="17" t="s">
        <v>208</v>
      </c>
      <c r="C13" s="10" t="s">
        <v>3</v>
      </c>
      <c r="D13" s="10" t="s">
        <v>23</v>
      </c>
      <c r="E13" s="10" t="s">
        <v>25</v>
      </c>
      <c r="F13" s="10" t="s">
        <v>26</v>
      </c>
      <c r="G13" s="10" t="str">
        <f>IF(INDEX(C13:F13,IF(Photos!$B$5=Photos!$C$7,1,IF(Photos!$B$5=Photos!$D$7,2,IF(Photos!$B$5=Photos!$E$7,3,4))))&gt;0,"Yes","No")</f>
        <v>Yes</v>
      </c>
      <c r="H13" s="22" t="str">
        <f>IF(G13="Heading","",$B$2&amp;"_"&amp;$B$3&amp;"_"&amp;$B10&amp;"_0"&amp;A13&amp;".jpg")</f>
        <v>RF_RRU overall typical all connections, labels, weather and bird proofing to be visible_uWave_xx_facing_SiteName_03.jpg</v>
      </c>
      <c r="I13" s="23"/>
      <c r="J13" s="24"/>
      <c r="L13" s="1" t="s">
        <v>224</v>
      </c>
    </row>
    <row r="14" spans="1:12" s="1" customFormat="1" thickBot="1" x14ac:dyDescent="0.35">
      <c r="A14" s="82">
        <v>4</v>
      </c>
      <c r="B14" s="18" t="s">
        <v>204</v>
      </c>
      <c r="C14" s="14" t="s">
        <v>3</v>
      </c>
      <c r="D14" s="14" t="s">
        <v>23</v>
      </c>
      <c r="E14" s="14" t="s">
        <v>25</v>
      </c>
      <c r="F14" s="14" t="s">
        <v>26</v>
      </c>
      <c r="G14" s="14" t="str">
        <f>IF(INDEX(C14:F14,IF(Photos!$B$5=Photos!$C$7,1,IF(Photos!$B$5=Photos!$D$7,2,IF(Photos!$B$5=Photos!$E$7,3,4))))&gt;0,"Yes","No")</f>
        <v>Yes</v>
      </c>
      <c r="H14" s="25" t="str">
        <f>IF(G14="Heading","",$B$2&amp;"_"&amp;$B$3&amp;"_"&amp;$B10&amp;"_0"&amp;A14&amp;".jpg")</f>
        <v>RF_RRU overall typical all connections, labels, weather and bird proofing to be visible_uWave_xx_facing_SiteName_04.jpg</v>
      </c>
      <c r="I14" s="26"/>
      <c r="J14" s="27"/>
      <c r="L14" s="1" t="s">
        <v>224</v>
      </c>
    </row>
  </sheetData>
  <conditionalFormatting sqref="J11:J14 J3:J8">
    <cfRule type="expression" dxfId="0" priority="10">
      <formula>I3&lt;&gt;"Yes"</formula>
    </cfRule>
  </conditionalFormatting>
  <dataValidations count="1">
    <dataValidation type="list" showErrorMessage="1" error="Select value &quot;Yes&quot;, &quot;No&quot; or &quot;N/A&quot;" sqref="I11:I14 I3:I8">
      <formula1>$C$4:$E$4</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Instructions</vt:lpstr>
      <vt:lpstr>Image Req</vt:lpstr>
      <vt:lpstr>Photos</vt:lpstr>
      <vt:lpstr>Version Control</vt:lpstr>
      <vt:lpstr>Data</vt:lpstr>
      <vt:lpstr>'Image Req'!_Ref298488409</vt:lpstr>
      <vt:lpstr>'Image Req'!_Ref298504688</vt:lpstr>
      <vt:lpstr>'Image Req'!_Toc301796008</vt:lpstr>
      <vt:lpstr>Photos!Print_Area</vt:lpstr>
    </vt:vector>
  </TitlesOfParts>
  <Company>NBNCo Limited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jasonwood</dc:creator>
  <cp:lastModifiedBy>Bedaar, Sherjeel</cp:lastModifiedBy>
  <cp:lastPrinted>2012-05-03T01:00:14Z</cp:lastPrinted>
  <dcterms:created xsi:type="dcterms:W3CDTF">2012-04-30T22:53:41Z</dcterms:created>
  <dcterms:modified xsi:type="dcterms:W3CDTF">2015-11-17T00:40:39Z</dcterms:modified>
</cp:coreProperties>
</file>